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基础运费矩阵" sheetId="2" state="visible" r:id="rId3"/>
    <sheet name="区域划分表" sheetId="3" state="visible" r:id="rId4"/>
    <sheet name="附加费用" sheetId="4" state="visible" r:id="rId5"/>
    <sheet name="计算示例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<sst xmlns="http://schemas.openxmlformats.org/spreadsheetml/2006/main" count="528" uniqueCount="422">
  <si>
    <t xml:space="preserve">美国卡派运费报价矩阵</t>
  </si>
  <si>
    <t xml:space="preserve">US Ground Freight Rate Matrix - 2024</t>
  </si>
  <si>
    <t xml:space="preserve">报价说明</t>
  </si>
  <si>
    <t xml:space="preserve">生效日期</t>
  </si>
  <si>
    <t xml:space="preserve">2024-01-01</t>
  </si>
  <si>
    <t xml:space="preserve">货币单位</t>
  </si>
  <si>
    <r>
      <rPr>
        <b val="true"/>
        <sz val="11"/>
        <color rgb="FF0066CC"/>
        <rFont val="Cambria"/>
        <family val="0"/>
        <charset val="1"/>
      </rPr>
      <t xml:space="preserve">USD (</t>
    </r>
    <r>
      <rPr>
        <b val="true"/>
        <sz val="11"/>
        <color rgb="FF0066CC"/>
        <rFont val="Noto Sans CJK SC"/>
        <family val="2"/>
      </rPr>
      <t xml:space="preserve">美元</t>
    </r>
    <r>
      <rPr>
        <b val="true"/>
        <sz val="11"/>
        <color rgb="FF0066CC"/>
        <rFont val="Cambria"/>
        <family val="0"/>
        <charset val="1"/>
      </rPr>
      <t xml:space="preserve">)</t>
    </r>
  </si>
  <si>
    <t xml:space="preserve">重量单位</t>
  </si>
  <si>
    <r>
      <rPr>
        <b val="true"/>
        <sz val="11"/>
        <color rgb="FF0066CC"/>
        <rFont val="Cambria"/>
        <family val="0"/>
        <charset val="1"/>
      </rPr>
      <t xml:space="preserve">LBS (</t>
    </r>
    <r>
      <rPr>
        <b val="true"/>
        <sz val="11"/>
        <color rgb="FF0066CC"/>
        <rFont val="Noto Sans CJK SC"/>
        <family val="2"/>
      </rPr>
      <t xml:space="preserve">磅</t>
    </r>
    <r>
      <rPr>
        <b val="true"/>
        <sz val="11"/>
        <color rgb="FF0066CC"/>
        <rFont val="Cambria"/>
        <family val="0"/>
        <charset val="1"/>
      </rPr>
      <t xml:space="preserve">)</t>
    </r>
  </si>
  <si>
    <t xml:space="preserve">距离单位</t>
  </si>
  <si>
    <r>
      <rPr>
        <b val="true"/>
        <sz val="11"/>
        <color rgb="FF0066CC"/>
        <rFont val="Cambria"/>
        <family val="0"/>
        <charset val="1"/>
      </rPr>
      <t xml:space="preserve">Miles (</t>
    </r>
    <r>
      <rPr>
        <b val="true"/>
        <sz val="11"/>
        <color rgb="FF0066CC"/>
        <rFont val="Noto Sans CJK SC"/>
        <family val="2"/>
      </rPr>
      <t xml:space="preserve">英里</t>
    </r>
    <r>
      <rPr>
        <b val="true"/>
        <sz val="11"/>
        <color rgb="FF0066CC"/>
        <rFont val="Cambria"/>
        <family val="0"/>
        <charset val="1"/>
      </rPr>
      <t xml:space="preserve">)</t>
    </r>
  </si>
  <si>
    <t xml:space="preserve">适用区域</t>
  </si>
  <si>
    <t xml:space="preserve">美国本土48州</t>
  </si>
  <si>
    <t xml:space="preserve">工作表索引</t>
  </si>
  <si>
    <t xml:space="preserve">工作表名称</t>
  </si>
  <si>
    <t xml:space="preserve">说明</t>
  </si>
  <si>
    <t xml:space="preserve">基础运费矩阵</t>
  </si>
  <si>
    <t xml:space="preserve">按区域和重量段的基础运费报价</t>
  </si>
  <si>
    <t xml:space="preserve">区域划分表</t>
  </si>
  <si>
    <t xml:space="preserve">各州所属区域划分明细</t>
  </si>
  <si>
    <t xml:space="preserve">附加费用</t>
  </si>
  <si>
    <t xml:space="preserve">燃油附加费、住宅配送费等</t>
  </si>
  <si>
    <t xml:space="preserve">计算示例</t>
  </si>
  <si>
    <t xml:space="preserve">运费计算示例演示</t>
  </si>
  <si>
    <t xml:space="preserve">美国卡派基础运费报价矩阵 (USD)</t>
  </si>
  <si>
    <t xml:space="preserve">Ground Freight Rate Matrix by Zone &amp; Weight</t>
  </si>
  <si>
    <t xml:space="preserve">重量段
Weight Range</t>
  </si>
  <si>
    <t xml:space="preserve">Zone 2
(0-150mi)</t>
  </si>
  <si>
    <t xml:space="preserve">Zone 3
(151-300mi)</t>
  </si>
  <si>
    <t xml:space="preserve">Zone 4
(301-600mi)</t>
  </si>
  <si>
    <t xml:space="preserve">Zone 5
(601-1000mi)</t>
  </si>
  <si>
    <t xml:space="preserve">Zone 6
(1001-1400mi)</t>
  </si>
  <si>
    <t xml:space="preserve">Zone 7
(1401-1800mi)</t>
  </si>
  <si>
    <t xml:space="preserve">Zone 8
(1801mi+)</t>
  </si>
  <si>
    <t xml:space="preserve">Ground</t>
  </si>
  <si>
    <t xml:space="preserve">Expedited</t>
  </si>
  <si>
    <t xml:space="preserve">1-5 lbs</t>
  </si>
  <si>
    <t xml:space="preserve">6-10 lbs</t>
  </si>
  <si>
    <t xml:space="preserve">11-20 lbs</t>
  </si>
  <si>
    <t xml:space="preserve">21-30 lbs</t>
  </si>
  <si>
    <t xml:space="preserve">31-50 lbs</t>
  </si>
  <si>
    <t xml:space="preserve">51-70 lbs</t>
  </si>
  <si>
    <t xml:space="preserve">71-100 lbs</t>
  </si>
  <si>
    <t xml:space="preserve">101-150 lbs</t>
  </si>
  <si>
    <t xml:space="preserve">151-200 lbs</t>
  </si>
  <si>
    <t xml:space="preserve">201-300 lbs</t>
  </si>
  <si>
    <t xml:space="preserve">301-500 lbs</t>
  </si>
  <si>
    <t xml:space="preserve">501-1000 lbs</t>
  </si>
  <si>
    <t xml:space="preserve">1000+ lbs</t>
  </si>
  <si>
    <t xml:space="preserve">美国各州区域划分明细</t>
  </si>
  <si>
    <t xml:space="preserve">区域</t>
  </si>
  <si>
    <t xml:space="preserve">州代码</t>
  </si>
  <si>
    <t xml:space="preserve">州名</t>
  </si>
  <si>
    <t xml:space="preserve">首府</t>
  </si>
  <si>
    <t xml:space="preserve">邮编前缀</t>
  </si>
  <si>
    <t xml:space="preserve">备注</t>
  </si>
  <si>
    <t xml:space="preserve">Zone 2</t>
  </si>
  <si>
    <t xml:space="preserve">CA</t>
  </si>
  <si>
    <t xml:space="preserve">California</t>
  </si>
  <si>
    <t xml:space="preserve">Sacramento</t>
  </si>
  <si>
    <t xml:space="preserve">900-961</t>
  </si>
  <si>
    <t xml:space="preserve">本地仓库</t>
  </si>
  <si>
    <t xml:space="preserve">NV</t>
  </si>
  <si>
    <t xml:space="preserve">Nevada</t>
  </si>
  <si>
    <t xml:space="preserve">Carson City</t>
  </si>
  <si>
    <t xml:space="preserve">889-899</t>
  </si>
  <si>
    <t xml:space="preserve">邻近州</t>
  </si>
  <si>
    <t xml:space="preserve">AZ</t>
  </si>
  <si>
    <t xml:space="preserve">Arizona</t>
  </si>
  <si>
    <t xml:space="preserve">Phoenix</t>
  </si>
  <si>
    <t xml:space="preserve">850-865</t>
  </si>
  <si>
    <t xml:space="preserve">Zone 3</t>
  </si>
  <si>
    <t xml:space="preserve">OR</t>
  </si>
  <si>
    <t xml:space="preserve">Oregon</t>
  </si>
  <si>
    <t xml:space="preserve">Salem</t>
  </si>
  <si>
    <t xml:space="preserve">970-979</t>
  </si>
  <si>
    <t xml:space="preserve">西北区域</t>
  </si>
  <si>
    <t xml:space="preserve">UT</t>
  </si>
  <si>
    <t xml:space="preserve">Utah</t>
  </si>
  <si>
    <t xml:space="preserve">Salt Lake City</t>
  </si>
  <si>
    <t xml:space="preserve">840-847</t>
  </si>
  <si>
    <t xml:space="preserve">山区</t>
  </si>
  <si>
    <t xml:space="preserve">ID</t>
  </si>
  <si>
    <t xml:space="preserve">Idaho</t>
  </si>
  <si>
    <t xml:space="preserve">Boise</t>
  </si>
  <si>
    <t xml:space="preserve">832-838</t>
  </si>
  <si>
    <t xml:space="preserve">Zone 4</t>
  </si>
  <si>
    <t xml:space="preserve">WA</t>
  </si>
  <si>
    <t xml:space="preserve">Washington</t>
  </si>
  <si>
    <t xml:space="preserve">Olympia</t>
  </si>
  <si>
    <t xml:space="preserve">980-994</t>
  </si>
  <si>
    <t xml:space="preserve">太平洋西北</t>
  </si>
  <si>
    <t xml:space="preserve">MT</t>
  </si>
  <si>
    <t xml:space="preserve">Montana</t>
  </si>
  <si>
    <t xml:space="preserve">Helena</t>
  </si>
  <si>
    <t xml:space="preserve">590-599</t>
  </si>
  <si>
    <t xml:space="preserve">北部山区</t>
  </si>
  <si>
    <t xml:space="preserve">WY</t>
  </si>
  <si>
    <t xml:space="preserve">Wyoming</t>
  </si>
  <si>
    <t xml:space="preserve">Cheyenne</t>
  </si>
  <si>
    <t xml:space="preserve">820-831</t>
  </si>
  <si>
    <t xml:space="preserve">CO</t>
  </si>
  <si>
    <t xml:space="preserve">Colorado</t>
  </si>
  <si>
    <t xml:space="preserve">Denver</t>
  </si>
  <si>
    <t xml:space="preserve">800-816</t>
  </si>
  <si>
    <t xml:space="preserve">中部山区</t>
  </si>
  <si>
    <t xml:space="preserve">NM</t>
  </si>
  <si>
    <t xml:space="preserve">New Mexico</t>
  </si>
  <si>
    <t xml:space="preserve">Santa Fe</t>
  </si>
  <si>
    <t xml:space="preserve">870-884</t>
  </si>
  <si>
    <t xml:space="preserve">西南区域</t>
  </si>
  <si>
    <t xml:space="preserve">Zone 5</t>
  </si>
  <si>
    <t xml:space="preserve">TX</t>
  </si>
  <si>
    <t xml:space="preserve">Texas</t>
  </si>
  <si>
    <t xml:space="preserve">Austin</t>
  </si>
  <si>
    <t xml:space="preserve">750-799, 885</t>
  </si>
  <si>
    <t xml:space="preserve">南部大区</t>
  </si>
  <si>
    <t xml:space="preserve">OK</t>
  </si>
  <si>
    <t xml:space="preserve">Oklahoma</t>
  </si>
  <si>
    <t xml:space="preserve">Oklahoma City</t>
  </si>
  <si>
    <t xml:space="preserve">730-749</t>
  </si>
  <si>
    <t xml:space="preserve">中南部</t>
  </si>
  <si>
    <t xml:space="preserve">KS</t>
  </si>
  <si>
    <t xml:space="preserve">Kansas</t>
  </si>
  <si>
    <t xml:space="preserve">Topeka</t>
  </si>
  <si>
    <t xml:space="preserve">660-679</t>
  </si>
  <si>
    <t xml:space="preserve">中部平原</t>
  </si>
  <si>
    <t xml:space="preserve">NE</t>
  </si>
  <si>
    <t xml:space="preserve">Nebraska</t>
  </si>
  <si>
    <t xml:space="preserve">Lincoln</t>
  </si>
  <si>
    <t xml:space="preserve">680-693</t>
  </si>
  <si>
    <t xml:space="preserve">SD</t>
  </si>
  <si>
    <t xml:space="preserve">South Dakota</t>
  </si>
  <si>
    <t xml:space="preserve">Pierre</t>
  </si>
  <si>
    <t xml:space="preserve">570-577</t>
  </si>
  <si>
    <t xml:space="preserve">北部平原</t>
  </si>
  <si>
    <t xml:space="preserve">ND</t>
  </si>
  <si>
    <t xml:space="preserve">North Dakota</t>
  </si>
  <si>
    <t xml:space="preserve">Bismarck</t>
  </si>
  <si>
    <t xml:space="preserve">580-588</t>
  </si>
  <si>
    <t xml:space="preserve">Zone 6</t>
  </si>
  <si>
    <t xml:space="preserve">MN</t>
  </si>
  <si>
    <t xml:space="preserve">Minnesota</t>
  </si>
  <si>
    <t xml:space="preserve">Saint Paul</t>
  </si>
  <si>
    <t xml:space="preserve">550-567</t>
  </si>
  <si>
    <t xml:space="preserve">中西部</t>
  </si>
  <si>
    <t xml:space="preserve">IA</t>
  </si>
  <si>
    <t xml:space="preserve">Iowa</t>
  </si>
  <si>
    <t xml:space="preserve">Des Moines</t>
  </si>
  <si>
    <t xml:space="preserve">500-528</t>
  </si>
  <si>
    <t xml:space="preserve">MO</t>
  </si>
  <si>
    <t xml:space="preserve">Missouri</t>
  </si>
  <si>
    <t xml:space="preserve">Jefferson City</t>
  </si>
  <si>
    <t xml:space="preserve">630-658</t>
  </si>
  <si>
    <t xml:space="preserve">AR</t>
  </si>
  <si>
    <t xml:space="preserve">Arkansas</t>
  </si>
  <si>
    <t xml:space="preserve">Little Rock</t>
  </si>
  <si>
    <t xml:space="preserve">716-729</t>
  </si>
  <si>
    <t xml:space="preserve">LA</t>
  </si>
  <si>
    <t xml:space="preserve">Louisiana</t>
  </si>
  <si>
    <t xml:space="preserve">Baton Rouge</t>
  </si>
  <si>
    <t xml:space="preserve">700-714</t>
  </si>
  <si>
    <t xml:space="preserve">南部</t>
  </si>
  <si>
    <t xml:space="preserve">WI</t>
  </si>
  <si>
    <t xml:space="preserve">Wisconsin</t>
  </si>
  <si>
    <t xml:space="preserve">Madison</t>
  </si>
  <si>
    <t xml:space="preserve">530-549</t>
  </si>
  <si>
    <t xml:space="preserve">Zone 7</t>
  </si>
  <si>
    <t xml:space="preserve">IL</t>
  </si>
  <si>
    <t xml:space="preserve">Illinois</t>
  </si>
  <si>
    <t xml:space="preserve">Springfield</t>
  </si>
  <si>
    <t xml:space="preserve">600-629</t>
  </si>
  <si>
    <t xml:space="preserve">MI</t>
  </si>
  <si>
    <t xml:space="preserve">Michigan</t>
  </si>
  <si>
    <t xml:space="preserve">Lansing</t>
  </si>
  <si>
    <t xml:space="preserve">480-499</t>
  </si>
  <si>
    <t xml:space="preserve">五大湖</t>
  </si>
  <si>
    <t xml:space="preserve">IN</t>
  </si>
  <si>
    <t xml:space="preserve">Indiana</t>
  </si>
  <si>
    <t xml:space="preserve">Indianapolis</t>
  </si>
  <si>
    <t xml:space="preserve">460-479</t>
  </si>
  <si>
    <t xml:space="preserve">OH</t>
  </si>
  <si>
    <t xml:space="preserve">Ohio</t>
  </si>
  <si>
    <t xml:space="preserve">Columbus</t>
  </si>
  <si>
    <t xml:space="preserve">430-459</t>
  </si>
  <si>
    <t xml:space="preserve">KY</t>
  </si>
  <si>
    <t xml:space="preserve">Kentucky</t>
  </si>
  <si>
    <t xml:space="preserve">Frankfort</t>
  </si>
  <si>
    <t xml:space="preserve">400-427</t>
  </si>
  <si>
    <t xml:space="preserve">东南部</t>
  </si>
  <si>
    <t xml:space="preserve">TN</t>
  </si>
  <si>
    <t xml:space="preserve">Tennessee</t>
  </si>
  <si>
    <t xml:space="preserve">Nashville</t>
  </si>
  <si>
    <t xml:space="preserve">370-385</t>
  </si>
  <si>
    <t xml:space="preserve">MS</t>
  </si>
  <si>
    <t xml:space="preserve">Mississippi</t>
  </si>
  <si>
    <t xml:space="preserve">Jackson</t>
  </si>
  <si>
    <t xml:space="preserve">386-397</t>
  </si>
  <si>
    <t xml:space="preserve">AL</t>
  </si>
  <si>
    <t xml:space="preserve">Alabama</t>
  </si>
  <si>
    <t xml:space="preserve">Montgomery</t>
  </si>
  <si>
    <t xml:space="preserve">350-369</t>
  </si>
  <si>
    <t xml:space="preserve">Zone 8</t>
  </si>
  <si>
    <t xml:space="preserve">FL</t>
  </si>
  <si>
    <t xml:space="preserve">Florida</t>
  </si>
  <si>
    <t xml:space="preserve">Tallahassee</t>
  </si>
  <si>
    <t xml:space="preserve">320-349</t>
  </si>
  <si>
    <t xml:space="preserve">东南沿海</t>
  </si>
  <si>
    <t xml:space="preserve">GA</t>
  </si>
  <si>
    <t xml:space="preserve">Georgia</t>
  </si>
  <si>
    <t xml:space="preserve">Atlanta</t>
  </si>
  <si>
    <t xml:space="preserve">300-319</t>
  </si>
  <si>
    <t xml:space="preserve">SC</t>
  </si>
  <si>
    <t xml:space="preserve">South Carolina</t>
  </si>
  <si>
    <t xml:space="preserve">Columbia</t>
  </si>
  <si>
    <t xml:space="preserve">290-299</t>
  </si>
  <si>
    <t xml:space="preserve">NC</t>
  </si>
  <si>
    <t xml:space="preserve">North Carolina</t>
  </si>
  <si>
    <t xml:space="preserve">Raleigh</t>
  </si>
  <si>
    <t xml:space="preserve">268-289</t>
  </si>
  <si>
    <t xml:space="preserve">VA</t>
  </si>
  <si>
    <t xml:space="preserve">Virginia</t>
  </si>
  <si>
    <t xml:space="preserve">Richmond</t>
  </si>
  <si>
    <t xml:space="preserve">220-246</t>
  </si>
  <si>
    <t xml:space="preserve">中大西洋</t>
  </si>
  <si>
    <t xml:space="preserve">WV</t>
  </si>
  <si>
    <t xml:space="preserve">West Virginia</t>
  </si>
  <si>
    <t xml:space="preserve">Charleston</t>
  </si>
  <si>
    <t xml:space="preserve">247-268</t>
  </si>
  <si>
    <t xml:space="preserve">PA</t>
  </si>
  <si>
    <t xml:space="preserve">Pennsylvania</t>
  </si>
  <si>
    <t xml:space="preserve">Harrisburg</t>
  </si>
  <si>
    <t xml:space="preserve">150-196</t>
  </si>
  <si>
    <t xml:space="preserve">东北部</t>
  </si>
  <si>
    <t xml:space="preserve">NY</t>
  </si>
  <si>
    <t xml:space="preserve">New York</t>
  </si>
  <si>
    <t xml:space="preserve">Albany</t>
  </si>
  <si>
    <t xml:space="preserve">005, 063, 100-149</t>
  </si>
  <si>
    <t xml:space="preserve">NJ</t>
  </si>
  <si>
    <t xml:space="preserve">New Jersey</t>
  </si>
  <si>
    <t xml:space="preserve">Trenton</t>
  </si>
  <si>
    <t xml:space="preserve">070-089</t>
  </si>
  <si>
    <t xml:space="preserve">DE</t>
  </si>
  <si>
    <t xml:space="preserve">Delaware</t>
  </si>
  <si>
    <t xml:space="preserve">Dover</t>
  </si>
  <si>
    <t xml:space="preserve">197-199</t>
  </si>
  <si>
    <t xml:space="preserve">MD</t>
  </si>
  <si>
    <t xml:space="preserve">Maryland</t>
  </si>
  <si>
    <t xml:space="preserve">Annapolis</t>
  </si>
  <si>
    <t xml:space="preserve">206-219</t>
  </si>
  <si>
    <t xml:space="preserve">DC</t>
  </si>
  <si>
    <t xml:space="preserve">District of Columbia</t>
  </si>
  <si>
    <t xml:space="preserve">200-205</t>
  </si>
  <si>
    <t xml:space="preserve">首都</t>
  </si>
  <si>
    <t xml:space="preserve">CT</t>
  </si>
  <si>
    <t xml:space="preserve">Connecticut</t>
  </si>
  <si>
    <t xml:space="preserve">Hartford</t>
  </si>
  <si>
    <t xml:space="preserve">060-069</t>
  </si>
  <si>
    <t xml:space="preserve">新英格兰</t>
  </si>
  <si>
    <t xml:space="preserve">RI</t>
  </si>
  <si>
    <t xml:space="preserve">Rhode Island</t>
  </si>
  <si>
    <t xml:space="preserve">Providence</t>
  </si>
  <si>
    <t xml:space="preserve">028-029</t>
  </si>
  <si>
    <t xml:space="preserve">MA</t>
  </si>
  <si>
    <t xml:space="preserve">Massachusetts</t>
  </si>
  <si>
    <t xml:space="preserve">Boston</t>
  </si>
  <si>
    <t xml:space="preserve">010-027, 055</t>
  </si>
  <si>
    <t xml:space="preserve">VT</t>
  </si>
  <si>
    <t xml:space="preserve">Vermont</t>
  </si>
  <si>
    <t xml:space="preserve">Montpelier</t>
  </si>
  <si>
    <t xml:space="preserve">050-059</t>
  </si>
  <si>
    <t xml:space="preserve">NH</t>
  </si>
  <si>
    <t xml:space="preserve">New Hampshire</t>
  </si>
  <si>
    <t xml:space="preserve">Concord</t>
  </si>
  <si>
    <t xml:space="preserve">030-039</t>
  </si>
  <si>
    <t xml:space="preserve">ME</t>
  </si>
  <si>
    <t xml:space="preserve">Maine</t>
  </si>
  <si>
    <t xml:space="preserve">Augusta</t>
  </si>
  <si>
    <t xml:space="preserve">039-049</t>
  </si>
  <si>
    <t xml:space="preserve">附加费用明细</t>
  </si>
  <si>
    <r>
      <rPr>
        <b val="true"/>
        <sz val="12"/>
        <color rgb="FF333333"/>
        <rFont val="Cambria"/>
        <family val="0"/>
        <charset val="1"/>
      </rPr>
      <t xml:space="preserve">1. </t>
    </r>
    <r>
      <rPr>
        <b val="true"/>
        <sz val="12"/>
        <color rgb="FF333333"/>
        <rFont val="Noto Sans CJK SC"/>
        <family val="2"/>
      </rPr>
      <t xml:space="preserve">燃油附加费 </t>
    </r>
    <r>
      <rPr>
        <b val="true"/>
        <sz val="12"/>
        <color rgb="FF333333"/>
        <rFont val="Cambria"/>
        <family val="0"/>
        <charset val="1"/>
      </rPr>
      <t xml:space="preserve">(Fuel Surcharge)</t>
    </r>
  </si>
  <si>
    <t xml:space="preserve">生效月份</t>
  </si>
  <si>
    <t xml:space="preserve">燃油指数</t>
  </si>
  <si>
    <t xml:space="preserve">附加费率</t>
  </si>
  <si>
    <t xml:space="preserve">适用服务</t>
  </si>
  <si>
    <t xml:space="preserve">2024-01</t>
  </si>
  <si>
    <t xml:space="preserve">$3.15/gal</t>
  </si>
  <si>
    <t xml:space="preserve">18.50%</t>
  </si>
  <si>
    <t xml:space="preserve">Ground/Expedited</t>
  </si>
  <si>
    <t xml:space="preserve">按月调整</t>
  </si>
  <si>
    <t xml:space="preserve">2024-02</t>
  </si>
  <si>
    <t xml:space="preserve">$3.22/gal</t>
  </si>
  <si>
    <t xml:space="preserve">19.25%</t>
  </si>
  <si>
    <t xml:space="preserve">2024-03</t>
  </si>
  <si>
    <t xml:space="preserve">$3.35/gal</t>
  </si>
  <si>
    <t xml:space="preserve">20.50%</t>
  </si>
  <si>
    <t xml:space="preserve">2024-04</t>
  </si>
  <si>
    <t xml:space="preserve">$3.48/gal</t>
  </si>
  <si>
    <t xml:space="preserve">21.75%</t>
  </si>
  <si>
    <t xml:space="preserve">2024-05</t>
  </si>
  <si>
    <t xml:space="preserve">$3.55/gal</t>
  </si>
  <si>
    <t xml:space="preserve">22.50%</t>
  </si>
  <si>
    <t xml:space="preserve">2024-06</t>
  </si>
  <si>
    <t xml:space="preserve">$3.42/gal</t>
  </si>
  <si>
    <t xml:space="preserve">21.25%</t>
  </si>
  <si>
    <r>
      <rPr>
        <b val="true"/>
        <sz val="12"/>
        <color rgb="FF333333"/>
        <rFont val="Cambria"/>
        <family val="0"/>
        <charset val="1"/>
      </rPr>
      <t xml:space="preserve">2. </t>
    </r>
    <r>
      <rPr>
        <b val="true"/>
        <sz val="12"/>
        <color rgb="FF333333"/>
        <rFont val="Noto Sans CJK SC"/>
        <family val="2"/>
      </rPr>
      <t xml:space="preserve">其他附加费用</t>
    </r>
  </si>
  <si>
    <t xml:space="preserve">费用代码</t>
  </si>
  <si>
    <t xml:space="preserve">费用名称</t>
  </si>
  <si>
    <t xml:space="preserve">金额 (USD)</t>
  </si>
  <si>
    <t xml:space="preserve">计费方式</t>
  </si>
  <si>
    <t xml:space="preserve">适用条件</t>
  </si>
  <si>
    <t xml:space="preserve">RES</t>
  </si>
  <si>
    <t xml:space="preserve">住宅配送费</t>
  </si>
  <si>
    <t xml:space="preserve">$5.50</t>
  </si>
  <si>
    <t xml:space="preserve">每票</t>
  </si>
  <si>
    <t xml:space="preserve">配送至住宅地址</t>
  </si>
  <si>
    <r>
      <rPr>
        <sz val="10"/>
        <rFont val="Cambria"/>
        <family val="0"/>
        <charset val="1"/>
      </rPr>
      <t xml:space="preserve">Ground/Expedited</t>
    </r>
    <r>
      <rPr>
        <sz val="10"/>
        <rFont val="Noto Sans CJK SC"/>
        <family val="2"/>
      </rPr>
      <t xml:space="preserve">均适用</t>
    </r>
  </si>
  <si>
    <t xml:space="preserve">RES-L</t>
  </si>
  <si>
    <t xml:space="preserve">大件住宅配送</t>
  </si>
  <si>
    <t xml:space="preserve">$9.50</t>
  </si>
  <si>
    <t xml:space="preserve">住宅+超尺寸</t>
  </si>
  <si>
    <t xml:space="preserve">单边&gt;48"或重量&gt;70lbs</t>
  </si>
  <si>
    <t xml:space="preserve">OS1</t>
  </si>
  <si>
    <t xml:space="preserve">超尺寸费-1级</t>
  </si>
  <si>
    <t xml:space="preserve">$35.00</t>
  </si>
  <si>
    <t xml:space="preserve">最长边 48-72"</t>
  </si>
  <si>
    <t xml:space="preserve">单边长度</t>
  </si>
  <si>
    <t xml:space="preserve">OS2</t>
  </si>
  <si>
    <t xml:space="preserve">超尺寸费-2级</t>
  </si>
  <si>
    <t xml:space="preserve">$85.00</t>
  </si>
  <si>
    <t xml:space="preserve">最长边 72-96"</t>
  </si>
  <si>
    <t xml:space="preserve">OS3</t>
  </si>
  <si>
    <t xml:space="preserve">超尺寸费-3级</t>
  </si>
  <si>
    <t xml:space="preserve">$145.00</t>
  </si>
  <si>
    <t xml:space="preserve">最长边 96-108"</t>
  </si>
  <si>
    <t xml:space="preserve">OW</t>
  </si>
  <si>
    <t xml:space="preserve">超重费</t>
  </si>
  <si>
    <t xml:space="preserve">$52.00</t>
  </si>
  <si>
    <t xml:space="preserve">单件重量 &gt;150lbs</t>
  </si>
  <si>
    <t xml:space="preserve">需提前申请</t>
  </si>
  <si>
    <t xml:space="preserve">AH</t>
  </si>
  <si>
    <t xml:space="preserve">地址修改费</t>
  </si>
  <si>
    <t xml:space="preserve">$18.00</t>
  </si>
  <si>
    <t xml:space="preserve">运输途中修改地址</t>
  </si>
  <si>
    <t xml:space="preserve">限修改一次</t>
  </si>
  <si>
    <t xml:space="preserve">RED</t>
  </si>
  <si>
    <t xml:space="preserve">重新配送费</t>
  </si>
  <si>
    <t xml:space="preserve">$12.50</t>
  </si>
  <si>
    <t xml:space="preserve">首次配送失败</t>
  </si>
  <si>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次尝试后退回</t>
    </r>
  </si>
  <si>
    <t xml:space="preserve">SIG</t>
  </si>
  <si>
    <t xml:space="preserve">签名确认费</t>
  </si>
  <si>
    <t xml:space="preserve">需要成人签名</t>
  </si>
  <si>
    <r>
      <rPr>
        <sz val="10"/>
        <rFont val="Cambria"/>
        <family val="0"/>
        <charset val="1"/>
      </rPr>
      <t xml:space="preserve">21</t>
    </r>
    <r>
      <rPr>
        <sz val="10"/>
        <rFont val="Noto Sans CJK SC"/>
        <family val="2"/>
      </rPr>
      <t xml:space="preserve">岁以上</t>
    </r>
  </si>
  <si>
    <t xml:space="preserve">INS</t>
  </si>
  <si>
    <t xml:space="preserve">保险费</t>
  </si>
  <si>
    <t xml:space="preserve">$1.50</t>
  </si>
  <si>
    <t xml:space="preserve">每$100</t>
  </si>
  <si>
    <t xml:space="preserve">声明价值</t>
  </si>
  <si>
    <t xml:space="preserve">最高$50,000</t>
  </si>
  <si>
    <t xml:space="preserve">COD</t>
  </si>
  <si>
    <t xml:space="preserve">货到付款</t>
  </si>
  <si>
    <t xml:space="preserve">$15.00</t>
  </si>
  <si>
    <r>
      <rPr>
        <sz val="10"/>
        <rFont val="Cambria"/>
        <family val="0"/>
        <charset val="1"/>
      </rPr>
      <t xml:space="preserve">COD</t>
    </r>
    <r>
      <rPr>
        <sz val="10"/>
        <rFont val="Noto Sans CJK SC"/>
        <family val="2"/>
      </rPr>
      <t xml:space="preserve">服务</t>
    </r>
  </si>
  <si>
    <t xml:space="preserve">现金/支票</t>
  </si>
  <si>
    <t xml:space="preserve">HAZ</t>
  </si>
  <si>
    <t xml:space="preserve">危险品处理</t>
  </si>
  <si>
    <t xml:space="preserve">含危险品</t>
  </si>
  <si>
    <t xml:space="preserve">需MSDS文件</t>
  </si>
  <si>
    <t xml:space="preserve">LIFT</t>
  </si>
  <si>
    <t xml:space="preserve">上楼搬运</t>
  </si>
  <si>
    <t xml:space="preserve">$45.00</t>
  </si>
  <si>
    <t xml:space="preserve">需搬运上楼</t>
  </si>
  <si>
    <t xml:space="preserve">限3层以下</t>
  </si>
  <si>
    <t xml:space="preserve">INSIDE</t>
  </si>
  <si>
    <t xml:space="preserve">室内配送</t>
  </si>
  <si>
    <t xml:space="preserve">$65.00</t>
  </si>
  <si>
    <t xml:space="preserve">需搬入室内</t>
  </si>
  <si>
    <t xml:space="preserve">不含安装</t>
  </si>
  <si>
    <t xml:space="preserve">运费计算示例</t>
  </si>
  <si>
    <t xml:space="preserve">示例 1: 基础运费计算</t>
  </si>
  <si>
    <t xml:space="preserve">项目</t>
  </si>
  <si>
    <t xml:space="preserve">数值</t>
  </si>
  <si>
    <t xml:space="preserve">发货地</t>
  </si>
  <si>
    <t xml:space="preserve">CA (California)</t>
  </si>
  <si>
    <t xml:space="preserve">洛杉矶仓库</t>
  </si>
  <si>
    <t xml:space="preserve">目的地</t>
  </si>
  <si>
    <t xml:space="preserve">NY (New York)</t>
  </si>
  <si>
    <t xml:space="preserve">纽约市</t>
  </si>
  <si>
    <t xml:space="preserve">距离</t>
  </si>
  <si>
    <t xml:space="preserve">2,450 miles</t>
  </si>
  <si>
    <t xml:space="preserve">货物重量</t>
  </si>
  <si>
    <t xml:space="preserve">45 lbs</t>
  </si>
  <si>
    <t xml:space="preserve">实际重量</t>
  </si>
  <si>
    <t xml:space="preserve">服务类型</t>
  </si>
  <si>
    <t xml:space="preserve">标准服务</t>
  </si>
  <si>
    <t xml:space="preserve">基础运费</t>
  </si>
  <si>
    <t xml:space="preserve">$19.00</t>
  </si>
  <si>
    <t xml:space="preserve">Zone 8, 31-50 lbs, Ground</t>
  </si>
  <si>
    <t xml:space="preserve">费用汇总</t>
  </si>
  <si>
    <t xml:space="preserve">费用项目</t>
  </si>
  <si>
    <t xml:space="preserve">计算说明</t>
  </si>
  <si>
    <t xml:space="preserve">Zone 8, 31-50 lbs</t>
  </si>
  <si>
    <t xml:space="preserve">燃油附加费 (21.75%)</t>
  </si>
  <si>
    <r>
      <rPr>
        <sz val="10"/>
        <rFont val="Noto Sans CJK SC"/>
        <family val="2"/>
      </rPr>
      <t xml:space="preserve">基础运费 </t>
    </r>
    <r>
      <rPr>
        <sz val="10"/>
        <rFont val="Cambria"/>
        <family val="0"/>
        <charset val="1"/>
      </rPr>
      <t xml:space="preserve">× </t>
    </r>
    <r>
      <rPr>
        <sz val="10"/>
        <rFont val="Noto Sans CJK SC"/>
        <family val="2"/>
      </rPr>
      <t xml:space="preserve">燃油费率</t>
    </r>
  </si>
  <si>
    <t xml:space="preserve">总计</t>
  </si>
  <si>
    <t xml:space="preserve">不含保险和其他特殊费用</t>
  </si>
  <si>
    <t xml:space="preserve">示例 2: 大件货物运费计算 (含多项附加费)</t>
  </si>
  <si>
    <t xml:space="preserve">TX (Texas)</t>
  </si>
  <si>
    <t xml:space="preserve">达拉斯仓库</t>
  </si>
  <si>
    <t xml:space="preserve">FL (Florida)</t>
  </si>
  <si>
    <t xml:space="preserve">迈阿密</t>
  </si>
  <si>
    <t xml:space="preserve">1,200 miles</t>
  </si>
  <si>
    <t xml:space="preserve">85 lbs</t>
  </si>
  <si>
    <t xml:space="preserve">货物尺寸</t>
  </si>
  <si>
    <t xml:space="preserve">52" x 24" x 18"</t>
  </si>
  <si>
    <t xml:space="preserve">最长边 52"</t>
  </si>
  <si>
    <t xml:space="preserve">加急服务</t>
  </si>
  <si>
    <t xml:space="preserve">$83.00</t>
  </si>
  <si>
    <t xml:space="preserve">Zone 6, 71-100 lbs, Expedited</t>
  </si>
  <si>
    <t xml:space="preserve">声明价值 $300, =$1.5*3</t>
  </si>
  <si>
    <t xml:space="preserve">不含上楼搬运和室内配送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</si>
</sst>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Noto Sans CJK SC"/>
      <family val="2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 val="true"/>
      <sz val="11"/>
      <color rgb="FF0066CC"/>
      <name val="Cambria"/>
      <family val="0"/>
      <charset val="1"/>
    </font>
    <font>
      <b val="true"/>
      <sz val="11"/>
      <color rgb="FF0066CC"/>
      <name val="Noto Sans CJK SC"/>
      <family val="2"/>
    </font>
    <font>
      <b val="true"/>
      <sz val="11"/>
      <color rgb="FF0066CC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6"/>
      <color rgb="FF1F4E79"/>
      <name val="Noto Sans CJK SC"/>
      <family val="2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name val="Cambria"/>
      <family val="0"/>
      <charset val="1"/>
    </font>
    <font>
      <sz val="10"/>
      <name val="Noto Sans CJK SC"/>
      <family val="2"/>
      <charset val="1"/>
    </font>
    <font>
      <b val="true"/>
      <sz val="12"/>
      <color rgb="FF333333"/>
      <name val="Cambria"/>
      <family val="0"/>
      <charset val="1"/>
    </font>
    <font>
      <b val="true"/>
      <sz val="12"/>
      <color rgb="FF333333"/>
      <name val="Noto Sans CJK SC"/>
      <family val="2"/>
    </font>
    <font>
      <sz val="10"/>
      <name val="Noto Sans CJK SC"/>
      <family val="2"/>
    </font>
    <font>
      <b val="true"/>
      <sz val="12"/>
      <color rgb="FF333333"/>
      <name val="Noto Sans CJK SC"/>
      <family val="2"/>
      <charset val="1"/>
    </font>
    <font>
      <b val="true"/>
      <sz val="11"/>
      <color rgb="FF1F4E79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color rgb="FFFF0000"/>
      <name val="Cambria"/>
      <family val="0"/>
      <charset val="1"/>
    </font>
    <font>
      <i val="true"/>
      <sz val="10"/>
      <name val="Noto Sans CJK SC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2F2F2"/>
      </patternFill>
    </fill>
    <fill>
      <patternFill patternType="solid">
        <fgColor rgb="FFF9F9F9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CD5B4"/>
      </patternFill>
    </fill>
    <fill>
      <patternFill patternType="solid">
        <fgColor rgb="FFB8CCE4"/>
        <bgColor rgb="FFD0D0D0"/>
      </patternFill>
    </fill>
    <fill>
      <patternFill patternType="solid">
        <fgColor rgb="FFE4DFEC"/>
        <bgColor rgb="FFD9D9D9"/>
      </patternFill>
    </fill>
    <fill>
      <patternFill patternType="solid">
        <fgColor rgb="FFFCD5B4"/>
        <bgColor rgb="FFFFEB9C"/>
      </patternFill>
    </fill>
    <fill>
      <patternFill patternType="solid">
        <fgColor rgb="FFD9D9D9"/>
        <bgColor rgb="FFD0D0D0"/>
      </patternFill>
    </fill>
    <fill>
      <patternFill patternType="solid">
        <fgColor rgb="FFF2F2F2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FEB9C"/>
      <rgbColor rgb="FFD9D9D9"/>
      <rgbColor rgb="FFFF99CC"/>
      <rgbColor rgb="FFE4DFEC"/>
      <rgbColor rgb="FFFCD5B4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40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7" t="s">
        <v>12</v>
      </c>
    </row>
    <row r="12" customFormat="false" ht="15" hidden="false" customHeight="true" outlineLevel="0" collapsed="false">
      <c r="B12" s="4" t="s">
        <v>13</v>
      </c>
    </row>
    <row r="13" customFormat="false" ht="15" hidden="false" customHeight="true" outlineLevel="0" collapsed="false">
      <c r="B13" s="8" t="s">
        <v>14</v>
      </c>
      <c r="C13" s="8" t="s">
        <v>15</v>
      </c>
    </row>
    <row r="14" customFormat="false" ht="15" hidden="false" customHeight="true" outlineLevel="0" collapsed="false">
      <c r="B14" s="9" t="s">
        <v>16</v>
      </c>
      <c r="C14" s="9" t="s">
        <v>17</v>
      </c>
    </row>
    <row r="15" customFormat="false" ht="15" hidden="false" customHeight="true" outlineLevel="0" collapsed="false">
      <c r="B15" s="9" t="s">
        <v>18</v>
      </c>
      <c r="C15" s="9" t="s">
        <v>19</v>
      </c>
    </row>
    <row r="16" customFormat="false" ht="15" hidden="false" customHeight="true" outlineLevel="0" collapsed="false">
      <c r="B16" s="9" t="s">
        <v>20</v>
      </c>
      <c r="C16" s="9" t="s">
        <v>21</v>
      </c>
    </row>
    <row r="17" customFormat="false" ht="15" hidden="false" customHeight="true" outlineLevel="0" collapsed="false">
      <c r="B17" s="9" t="s">
        <v>22</v>
      </c>
      <c r="C17" s="9" t="s">
        <v>23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16" min="3" style="1" width="10"/>
  </cols>
  <sheetData>
    <row r="2" customFormat="false" ht="34.5" hidden="false" customHeight="true" outlineLevel="0" collapsed="false">
      <c r="B2" s="10" t="s">
        <v>24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15" hidden="false" customHeight="true" outlineLevel="0" collapsed="false">
      <c r="B3" s="11" t="s">
        <v>25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39.75" hidden="false" customHeight="true" outlineLevel="0" collapsed="false">
      <c r="B5" s="12" t="s">
        <v>26</v>
      </c>
      <c r="C5" s="13" t="s">
        <v>27</v>
      </c>
      <c r="D5" s="13"/>
      <c r="E5" s="13" t="s">
        <v>28</v>
      </c>
      <c r="F5" s="13"/>
      <c r="G5" s="13" t="s">
        <v>29</v>
      </c>
      <c r="H5" s="13"/>
      <c r="I5" s="13" t="s">
        <v>30</v>
      </c>
      <c r="J5" s="13"/>
      <c r="K5" s="13" t="s">
        <v>31</v>
      </c>
      <c r="L5" s="13"/>
      <c r="M5" s="13" t="s">
        <v>32</v>
      </c>
      <c r="N5" s="13"/>
      <c r="O5" s="13" t="s">
        <v>33</v>
      </c>
      <c r="P5" s="13"/>
    </row>
    <row r="6" customFormat="false" ht="15" hidden="false" customHeight="true" outlineLevel="0" collapsed="false">
      <c r="B6" s="12"/>
      <c r="C6" s="14" t="s">
        <v>34</v>
      </c>
      <c r="D6" s="14" t="s">
        <v>35</v>
      </c>
      <c r="E6" s="14" t="s">
        <v>34</v>
      </c>
      <c r="F6" s="14" t="s">
        <v>35</v>
      </c>
      <c r="G6" s="14" t="s">
        <v>34</v>
      </c>
      <c r="H6" s="14" t="s">
        <v>35</v>
      </c>
      <c r="I6" s="14" t="s">
        <v>34</v>
      </c>
      <c r="J6" s="14" t="s">
        <v>35</v>
      </c>
      <c r="K6" s="14" t="s">
        <v>34</v>
      </c>
      <c r="L6" s="14" t="s">
        <v>35</v>
      </c>
      <c r="M6" s="14" t="s">
        <v>34</v>
      </c>
      <c r="N6" s="14" t="s">
        <v>35</v>
      </c>
      <c r="O6" s="14" t="s">
        <v>34</v>
      </c>
      <c r="P6" s="14" t="s">
        <v>35</v>
      </c>
    </row>
    <row r="7" customFormat="false" ht="15" hidden="false" customHeight="true" outlineLevel="0" collapsed="false">
      <c r="B7" s="15" t="s">
        <v>36</v>
      </c>
      <c r="C7" s="16" t="n">
        <v>8.5</v>
      </c>
      <c r="D7" s="16" t="n">
        <v>15.2</v>
      </c>
      <c r="E7" s="16" t="n">
        <v>9.8</v>
      </c>
      <c r="F7" s="16" t="n">
        <v>17.5</v>
      </c>
      <c r="G7" s="16" t="n">
        <v>11.2</v>
      </c>
      <c r="H7" s="16" t="n">
        <v>19.8</v>
      </c>
      <c r="I7" s="16" t="n">
        <v>13.5</v>
      </c>
      <c r="J7" s="16" t="n">
        <v>23</v>
      </c>
      <c r="K7" s="16" t="n">
        <v>15.8</v>
      </c>
      <c r="L7" s="16" t="n">
        <v>26.5</v>
      </c>
      <c r="M7" s="16" t="n">
        <v>18.2</v>
      </c>
      <c r="N7" s="16" t="n">
        <v>30</v>
      </c>
      <c r="O7" s="16" t="n">
        <v>21.5</v>
      </c>
      <c r="P7" s="16" t="n">
        <v>35</v>
      </c>
    </row>
    <row r="8" customFormat="false" ht="15" hidden="false" customHeight="true" outlineLevel="0" collapsed="false">
      <c r="B8" s="15" t="s">
        <v>37</v>
      </c>
      <c r="C8" s="17" t="n">
        <v>10.2</v>
      </c>
      <c r="D8" s="17" t="n">
        <v>18</v>
      </c>
      <c r="E8" s="17" t="n">
        <v>11.5</v>
      </c>
      <c r="F8" s="17" t="n">
        <v>20.5</v>
      </c>
      <c r="G8" s="17" t="n">
        <v>13.8</v>
      </c>
      <c r="H8" s="17" t="n">
        <v>23.5</v>
      </c>
      <c r="I8" s="17" t="n">
        <v>16.2</v>
      </c>
      <c r="J8" s="17" t="n">
        <v>27</v>
      </c>
      <c r="K8" s="17" t="n">
        <v>19</v>
      </c>
      <c r="L8" s="17" t="n">
        <v>31</v>
      </c>
      <c r="M8" s="17" t="n">
        <v>22.5</v>
      </c>
      <c r="N8" s="17" t="n">
        <v>36</v>
      </c>
      <c r="O8" s="17" t="n">
        <v>26</v>
      </c>
      <c r="P8" s="17" t="n">
        <v>42</v>
      </c>
    </row>
    <row r="9" customFormat="false" ht="15" hidden="false" customHeight="true" outlineLevel="0" collapsed="false">
      <c r="B9" s="15" t="s">
        <v>38</v>
      </c>
      <c r="C9" s="16" t="n">
        <v>12.8</v>
      </c>
      <c r="D9" s="16" t="n">
        <v>22</v>
      </c>
      <c r="E9" s="16" t="n">
        <v>14.5</v>
      </c>
      <c r="F9" s="16" t="n">
        <v>25</v>
      </c>
      <c r="G9" s="16" t="n">
        <v>17.2</v>
      </c>
      <c r="H9" s="16" t="n">
        <v>28.5</v>
      </c>
      <c r="I9" s="16" t="n">
        <v>20.5</v>
      </c>
      <c r="J9" s="16" t="n">
        <v>33</v>
      </c>
      <c r="K9" s="16" t="n">
        <v>24</v>
      </c>
      <c r="L9" s="16" t="n">
        <v>38</v>
      </c>
      <c r="M9" s="16" t="n">
        <v>28.5</v>
      </c>
      <c r="N9" s="16" t="n">
        <v>44</v>
      </c>
      <c r="O9" s="16" t="n">
        <v>33</v>
      </c>
      <c r="P9" s="16" t="n">
        <v>51</v>
      </c>
    </row>
    <row r="10" customFormat="false" ht="15" hidden="false" customHeight="true" outlineLevel="0" collapsed="false">
      <c r="B10" s="15" t="s">
        <v>39</v>
      </c>
      <c r="C10" s="17" t="n">
        <v>15.5</v>
      </c>
      <c r="D10" s="17" t="n">
        <v>26.5</v>
      </c>
      <c r="E10" s="17" t="n">
        <v>17.8</v>
      </c>
      <c r="F10" s="17" t="n">
        <v>30</v>
      </c>
      <c r="G10" s="17" t="n">
        <v>21</v>
      </c>
      <c r="H10" s="17" t="n">
        <v>34.5</v>
      </c>
      <c r="I10" s="17" t="n">
        <v>25</v>
      </c>
      <c r="J10" s="17" t="n">
        <v>40</v>
      </c>
      <c r="K10" s="17" t="n">
        <v>29.5</v>
      </c>
      <c r="L10" s="17" t="n">
        <v>46.5</v>
      </c>
      <c r="M10" s="17" t="n">
        <v>35</v>
      </c>
      <c r="N10" s="17" t="n">
        <v>53</v>
      </c>
      <c r="O10" s="17" t="n">
        <v>41</v>
      </c>
      <c r="P10" s="17" t="n">
        <v>61</v>
      </c>
    </row>
    <row r="11" customFormat="false" ht="15" hidden="false" customHeight="true" outlineLevel="0" collapsed="false">
      <c r="B11" s="15" t="s">
        <v>40</v>
      </c>
      <c r="C11" s="16" t="n">
        <v>19</v>
      </c>
      <c r="D11" s="16" t="n">
        <v>32</v>
      </c>
      <c r="E11" s="16" t="n">
        <v>22</v>
      </c>
      <c r="F11" s="16" t="n">
        <v>36.5</v>
      </c>
      <c r="G11" s="16" t="n">
        <v>26</v>
      </c>
      <c r="H11" s="16" t="n">
        <v>42</v>
      </c>
      <c r="I11" s="16" t="n">
        <v>31</v>
      </c>
      <c r="J11" s="16" t="n">
        <v>49</v>
      </c>
      <c r="K11" s="16" t="n">
        <v>36.5</v>
      </c>
      <c r="L11" s="16" t="n">
        <v>57</v>
      </c>
      <c r="M11" s="16" t="n">
        <v>43</v>
      </c>
      <c r="N11" s="16" t="n">
        <v>66</v>
      </c>
      <c r="O11" s="16" t="n">
        <v>50</v>
      </c>
      <c r="P11" s="16" t="n">
        <v>75</v>
      </c>
    </row>
    <row r="12" customFormat="false" ht="15" hidden="false" customHeight="true" outlineLevel="0" collapsed="false">
      <c r="B12" s="15" t="s">
        <v>41</v>
      </c>
      <c r="C12" s="17" t="n">
        <v>23.5</v>
      </c>
      <c r="D12" s="17" t="n">
        <v>39</v>
      </c>
      <c r="E12" s="17" t="n">
        <v>27</v>
      </c>
      <c r="F12" s="17" t="n">
        <v>44.5</v>
      </c>
      <c r="G12" s="17" t="n">
        <v>32</v>
      </c>
      <c r="H12" s="17" t="n">
        <v>51</v>
      </c>
      <c r="I12" s="17" t="n">
        <v>38</v>
      </c>
      <c r="J12" s="17" t="n">
        <v>59</v>
      </c>
      <c r="K12" s="17" t="n">
        <v>45</v>
      </c>
      <c r="L12" s="17" t="n">
        <v>68</v>
      </c>
      <c r="M12" s="17" t="n">
        <v>53</v>
      </c>
      <c r="N12" s="17" t="n">
        <v>79</v>
      </c>
      <c r="O12" s="17" t="n">
        <v>62</v>
      </c>
      <c r="P12" s="17" t="n">
        <v>91</v>
      </c>
    </row>
    <row r="13" customFormat="false" ht="15" hidden="false" customHeight="true" outlineLevel="0" collapsed="false">
      <c r="B13" s="15" t="s">
        <v>42</v>
      </c>
      <c r="C13" s="16" t="n">
        <v>29</v>
      </c>
      <c r="D13" s="16" t="n">
        <v>47.5</v>
      </c>
      <c r="E13" s="16" t="n">
        <v>33.5</v>
      </c>
      <c r="F13" s="16" t="n">
        <v>54</v>
      </c>
      <c r="G13" s="16" t="n">
        <v>39.5</v>
      </c>
      <c r="H13" s="16" t="n">
        <v>62</v>
      </c>
      <c r="I13" s="16" t="n">
        <v>47</v>
      </c>
      <c r="J13" s="16" t="n">
        <v>72</v>
      </c>
      <c r="K13" s="16" t="n">
        <v>55.5</v>
      </c>
      <c r="L13" s="16" t="n">
        <v>83</v>
      </c>
      <c r="M13" s="16" t="n">
        <v>65.5</v>
      </c>
      <c r="N13" s="16" t="n">
        <v>96</v>
      </c>
      <c r="O13" s="16" t="n">
        <v>76</v>
      </c>
      <c r="P13" s="16" t="n">
        <v>110</v>
      </c>
    </row>
    <row r="14" customFormat="false" ht="15" hidden="false" customHeight="true" outlineLevel="0" collapsed="false">
      <c r="B14" s="15" t="s">
        <v>43</v>
      </c>
      <c r="C14" s="17" t="n">
        <v>36</v>
      </c>
      <c r="D14" s="17" t="n">
        <v>58</v>
      </c>
      <c r="E14" s="17" t="n">
        <v>41.5</v>
      </c>
      <c r="F14" s="17" t="n">
        <v>66</v>
      </c>
      <c r="G14" s="17" t="n">
        <v>49</v>
      </c>
      <c r="H14" s="17" t="n">
        <v>76</v>
      </c>
      <c r="I14" s="17" t="n">
        <v>58.5</v>
      </c>
      <c r="J14" s="17" t="n">
        <v>89</v>
      </c>
      <c r="K14" s="17" t="n">
        <v>69</v>
      </c>
      <c r="L14" s="17" t="n">
        <v>102</v>
      </c>
      <c r="M14" s="17" t="n">
        <v>81.5</v>
      </c>
      <c r="N14" s="17" t="n">
        <v>118</v>
      </c>
      <c r="O14" s="17" t="n">
        <v>95</v>
      </c>
      <c r="P14" s="17" t="n">
        <v>136</v>
      </c>
    </row>
    <row r="15" customFormat="false" ht="15" hidden="false" customHeight="true" outlineLevel="0" collapsed="false">
      <c r="B15" s="15" t="s">
        <v>44</v>
      </c>
      <c r="C15" s="16" t="n">
        <v>44.5</v>
      </c>
      <c r="D15" s="16" t="n">
        <v>71</v>
      </c>
      <c r="E15" s="16" t="n">
        <v>51.5</v>
      </c>
      <c r="F15" s="16" t="n">
        <v>81</v>
      </c>
      <c r="G15" s="16" t="n">
        <v>61</v>
      </c>
      <c r="H15" s="16" t="n">
        <v>94</v>
      </c>
      <c r="I15" s="16" t="n">
        <v>73</v>
      </c>
      <c r="J15" s="16" t="n">
        <v>110</v>
      </c>
      <c r="K15" s="16" t="n">
        <v>86</v>
      </c>
      <c r="L15" s="16" t="n">
        <v>127</v>
      </c>
      <c r="M15" s="16" t="n">
        <v>102</v>
      </c>
      <c r="N15" s="16" t="n">
        <v>148</v>
      </c>
      <c r="O15" s="16" t="n">
        <v>119</v>
      </c>
      <c r="P15" s="16" t="n">
        <v>170</v>
      </c>
    </row>
    <row r="16" customFormat="false" ht="15" hidden="false" customHeight="true" outlineLevel="0" collapsed="false">
      <c r="B16" s="15" t="s">
        <v>45</v>
      </c>
      <c r="C16" s="17" t="n">
        <v>58</v>
      </c>
      <c r="D16" s="17" t="n">
        <v>91</v>
      </c>
      <c r="E16" s="17" t="n">
        <v>67.5</v>
      </c>
      <c r="F16" s="17" t="n">
        <v>105</v>
      </c>
      <c r="G16" s="17" t="n">
        <v>80</v>
      </c>
      <c r="H16" s="17" t="n">
        <v>122</v>
      </c>
      <c r="I16" s="17" t="n">
        <v>96</v>
      </c>
      <c r="J16" s="17" t="n">
        <v>143</v>
      </c>
      <c r="K16" s="17" t="n">
        <v>114</v>
      </c>
      <c r="L16" s="17" t="n">
        <v>166</v>
      </c>
      <c r="M16" s="17" t="n">
        <v>135</v>
      </c>
      <c r="N16" s="17" t="n">
        <v>194</v>
      </c>
      <c r="O16" s="17" t="n">
        <v>158</v>
      </c>
      <c r="P16" s="17" t="n">
        <v>223</v>
      </c>
    </row>
    <row r="17" customFormat="false" ht="15" hidden="false" customHeight="true" outlineLevel="0" collapsed="false">
      <c r="B17" s="15" t="s">
        <v>46</v>
      </c>
      <c r="C17" s="16" t="n">
        <v>82</v>
      </c>
      <c r="D17" s="16" t="n">
        <v>127</v>
      </c>
      <c r="E17" s="16" t="n">
        <v>96</v>
      </c>
      <c r="F17" s="16" t="n">
        <v>147</v>
      </c>
      <c r="G17" s="16" t="n">
        <v>115</v>
      </c>
      <c r="H17" s="16" t="n">
        <v>172</v>
      </c>
      <c r="I17" s="16" t="n">
        <v>138</v>
      </c>
      <c r="J17" s="16" t="n">
        <v>203</v>
      </c>
      <c r="K17" s="16" t="n">
        <v>164</v>
      </c>
      <c r="L17" s="16" t="n">
        <v>237</v>
      </c>
      <c r="M17" s="16" t="n">
        <v>195</v>
      </c>
      <c r="N17" s="16" t="n">
        <v>278</v>
      </c>
      <c r="O17" s="16" t="n">
        <v>229</v>
      </c>
      <c r="P17" s="16" t="n">
        <v>321</v>
      </c>
    </row>
    <row r="18" customFormat="false" ht="15" hidden="false" customHeight="true" outlineLevel="0" collapsed="false">
      <c r="B18" s="15" t="s">
        <v>47</v>
      </c>
      <c r="C18" s="17" t="n">
        <v>135</v>
      </c>
      <c r="D18" s="17" t="n">
        <v>205</v>
      </c>
      <c r="E18" s="17" t="n">
        <v>159</v>
      </c>
      <c r="F18" s="17" t="n">
        <v>239</v>
      </c>
      <c r="G18" s="17" t="n">
        <v>191</v>
      </c>
      <c r="H18" s="17" t="n">
        <v>282</v>
      </c>
      <c r="I18" s="17" t="n">
        <v>230</v>
      </c>
      <c r="J18" s="17" t="n">
        <v>335</v>
      </c>
      <c r="K18" s="17" t="n">
        <v>275</v>
      </c>
      <c r="L18" s="17" t="n">
        <v>393</v>
      </c>
      <c r="M18" s="17" t="n">
        <v>327</v>
      </c>
      <c r="N18" s="17" t="n">
        <v>462</v>
      </c>
      <c r="O18" s="17" t="n">
        <v>386</v>
      </c>
      <c r="P18" s="17" t="n">
        <v>536</v>
      </c>
    </row>
    <row r="19" customFormat="false" ht="15" hidden="false" customHeight="true" outlineLevel="0" collapsed="false">
      <c r="B19" s="15" t="s">
        <v>48</v>
      </c>
      <c r="C19" s="16" t="n">
        <v>210</v>
      </c>
      <c r="D19" s="16" t="n">
        <v>315</v>
      </c>
      <c r="E19" s="16" t="n">
        <v>248</v>
      </c>
      <c r="F19" s="16" t="n">
        <v>368</v>
      </c>
      <c r="G19" s="16" t="n">
        <v>298</v>
      </c>
      <c r="H19" s="16" t="n">
        <v>435</v>
      </c>
      <c r="I19" s="16" t="n">
        <v>360</v>
      </c>
      <c r="J19" s="16" t="n">
        <v>518</v>
      </c>
      <c r="K19" s="16" t="n">
        <v>431</v>
      </c>
      <c r="L19" s="16" t="n">
        <v>609</v>
      </c>
      <c r="M19" s="16" t="n">
        <v>513</v>
      </c>
      <c r="N19" s="16" t="n">
        <v>717</v>
      </c>
      <c r="O19" s="16" t="n">
        <v>607</v>
      </c>
      <c r="P19" s="16" t="n">
        <v>833</v>
      </c>
    </row>
  </sheetData>
  <mergeCells count="10">
    <mergeCell ref="B2:M2"/>
    <mergeCell ref="B3:M3"/>
    <mergeCell ref="B5:B6"/>
    <mergeCell ref="C5:D5"/>
    <mergeCell ref="E5:F5"/>
    <mergeCell ref="G5:H5"/>
    <mergeCell ref="I5:J5"/>
    <mergeCell ref="K5:L5"/>
    <mergeCell ref="M5:N5"/>
    <mergeCell ref="O5:P5"/>
  </mergeCells>
  <conditionalFormatting sqref="C7:P19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{D415792C-BD5B-47C5-89BC-68D0A7CB7036}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5792C-BD5B-47C5-89BC-68D0A7CB7036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C7:P19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7" min="6" style="1" width="14"/>
  </cols>
  <sheetData>
    <row r="2" customFormat="false" ht="34.5" hidden="false" customHeight="true" outlineLevel="0" collapsed="false">
      <c r="B2" s="10" t="s">
        <v>49</v>
      </c>
      <c r="C2" s="10"/>
      <c r="D2" s="10"/>
      <c r="E2" s="10"/>
      <c r="F2" s="10"/>
      <c r="G2" s="10"/>
    </row>
    <row r="4" customFormat="false" ht="15" hidden="false" customHeight="true" outlineLevel="0" collapsed="false"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</row>
    <row r="5" customFormat="false" ht="15" hidden="false" customHeight="true" outlineLevel="0" collapsed="false">
      <c r="B5" s="19" t="s">
        <v>56</v>
      </c>
      <c r="C5" s="20" t="s">
        <v>57</v>
      </c>
      <c r="D5" s="20" t="s">
        <v>58</v>
      </c>
      <c r="E5" s="20" t="s">
        <v>59</v>
      </c>
      <c r="F5" s="20" t="s">
        <v>60</v>
      </c>
      <c r="G5" s="21" t="s">
        <v>61</v>
      </c>
    </row>
    <row r="6" customFormat="false" ht="15" hidden="false" customHeight="true" outlineLevel="0" collapsed="false">
      <c r="B6" s="19"/>
      <c r="C6" s="20" t="s">
        <v>62</v>
      </c>
      <c r="D6" s="20" t="s">
        <v>63</v>
      </c>
      <c r="E6" s="20" t="s">
        <v>64</v>
      </c>
      <c r="F6" s="20" t="s">
        <v>65</v>
      </c>
      <c r="G6" s="21" t="s">
        <v>66</v>
      </c>
    </row>
    <row r="7" customFormat="false" ht="15" hidden="false" customHeight="true" outlineLevel="0" collapsed="false">
      <c r="B7" s="19"/>
      <c r="C7" s="20" t="s">
        <v>67</v>
      </c>
      <c r="D7" s="20" t="s">
        <v>68</v>
      </c>
      <c r="E7" s="20" t="s">
        <v>69</v>
      </c>
      <c r="F7" s="20" t="s">
        <v>70</v>
      </c>
      <c r="G7" s="21" t="s">
        <v>66</v>
      </c>
    </row>
    <row r="8" customFormat="false" ht="15" hidden="false" customHeight="true" outlineLevel="0" collapsed="false">
      <c r="B8" s="22" t="s">
        <v>71</v>
      </c>
      <c r="C8" s="20" t="s">
        <v>72</v>
      </c>
      <c r="D8" s="20" t="s">
        <v>73</v>
      </c>
      <c r="E8" s="20" t="s">
        <v>74</v>
      </c>
      <c r="F8" s="20" t="s">
        <v>75</v>
      </c>
      <c r="G8" s="21" t="s">
        <v>76</v>
      </c>
    </row>
    <row r="9" customFormat="false" ht="15" hidden="false" customHeight="true" outlineLevel="0" collapsed="false">
      <c r="B9" s="22"/>
      <c r="C9" s="20" t="s">
        <v>77</v>
      </c>
      <c r="D9" s="20" t="s">
        <v>78</v>
      </c>
      <c r="E9" s="20" t="s">
        <v>79</v>
      </c>
      <c r="F9" s="20" t="s">
        <v>80</v>
      </c>
      <c r="G9" s="21" t="s">
        <v>81</v>
      </c>
    </row>
    <row r="10" customFormat="false" ht="15" hidden="false" customHeight="true" outlineLevel="0" collapsed="false">
      <c r="B10" s="22"/>
      <c r="C10" s="20" t="s">
        <v>82</v>
      </c>
      <c r="D10" s="20" t="s">
        <v>83</v>
      </c>
      <c r="E10" s="20" t="s">
        <v>84</v>
      </c>
      <c r="F10" s="20" t="s">
        <v>85</v>
      </c>
      <c r="G10" s="21" t="s">
        <v>76</v>
      </c>
    </row>
    <row r="11" customFormat="false" ht="15" hidden="false" customHeight="true" outlineLevel="0" collapsed="false">
      <c r="B11" s="23" t="s">
        <v>86</v>
      </c>
      <c r="C11" s="20" t="s">
        <v>87</v>
      </c>
      <c r="D11" s="20" t="s">
        <v>88</v>
      </c>
      <c r="E11" s="20" t="s">
        <v>89</v>
      </c>
      <c r="F11" s="20" t="s">
        <v>90</v>
      </c>
      <c r="G11" s="21" t="s">
        <v>91</v>
      </c>
    </row>
    <row r="12" customFormat="false" ht="15" hidden="false" customHeight="true" outlineLevel="0" collapsed="false">
      <c r="B12" s="23"/>
      <c r="C12" s="20" t="s">
        <v>92</v>
      </c>
      <c r="D12" s="20" t="s">
        <v>93</v>
      </c>
      <c r="E12" s="20" t="s">
        <v>94</v>
      </c>
      <c r="F12" s="20" t="s">
        <v>95</v>
      </c>
      <c r="G12" s="21" t="s">
        <v>96</v>
      </c>
    </row>
    <row r="13" customFormat="false" ht="15" hidden="false" customHeight="true" outlineLevel="0" collapsed="false">
      <c r="B13" s="23"/>
      <c r="C13" s="20" t="s">
        <v>97</v>
      </c>
      <c r="D13" s="20" t="s">
        <v>98</v>
      </c>
      <c r="E13" s="20" t="s">
        <v>99</v>
      </c>
      <c r="F13" s="20" t="s">
        <v>100</v>
      </c>
      <c r="G13" s="21" t="s">
        <v>81</v>
      </c>
    </row>
    <row r="14" customFormat="false" ht="15" hidden="false" customHeight="true" outlineLevel="0" collapsed="false">
      <c r="B14" s="23"/>
      <c r="C14" s="20" t="s">
        <v>101</v>
      </c>
      <c r="D14" s="20" t="s">
        <v>102</v>
      </c>
      <c r="E14" s="20" t="s">
        <v>103</v>
      </c>
      <c r="F14" s="20" t="s">
        <v>104</v>
      </c>
      <c r="G14" s="21" t="s">
        <v>105</v>
      </c>
    </row>
    <row r="15" customFormat="false" ht="15" hidden="false" customHeight="true" outlineLevel="0" collapsed="false">
      <c r="B15" s="23"/>
      <c r="C15" s="20" t="s">
        <v>106</v>
      </c>
      <c r="D15" s="20" t="s">
        <v>107</v>
      </c>
      <c r="E15" s="20" t="s">
        <v>108</v>
      </c>
      <c r="F15" s="20" t="s">
        <v>109</v>
      </c>
      <c r="G15" s="21" t="s">
        <v>110</v>
      </c>
    </row>
    <row r="16" customFormat="false" ht="15" hidden="false" customHeight="true" outlineLevel="0" collapsed="false">
      <c r="B16" s="24" t="s">
        <v>111</v>
      </c>
      <c r="C16" s="20" t="s">
        <v>112</v>
      </c>
      <c r="D16" s="20" t="s">
        <v>113</v>
      </c>
      <c r="E16" s="20" t="s">
        <v>114</v>
      </c>
      <c r="F16" s="20" t="s">
        <v>115</v>
      </c>
      <c r="G16" s="21" t="s">
        <v>116</v>
      </c>
    </row>
    <row r="17" customFormat="false" ht="15" hidden="false" customHeight="true" outlineLevel="0" collapsed="false">
      <c r="B17" s="24"/>
      <c r="C17" s="20" t="s">
        <v>117</v>
      </c>
      <c r="D17" s="20" t="s">
        <v>118</v>
      </c>
      <c r="E17" s="20" t="s">
        <v>119</v>
      </c>
      <c r="F17" s="20" t="s">
        <v>120</v>
      </c>
      <c r="G17" s="21" t="s">
        <v>121</v>
      </c>
    </row>
    <row r="18" customFormat="false" ht="15" hidden="false" customHeight="true" outlineLevel="0" collapsed="false">
      <c r="B18" s="24"/>
      <c r="C18" s="20" t="s">
        <v>122</v>
      </c>
      <c r="D18" s="20" t="s">
        <v>123</v>
      </c>
      <c r="E18" s="20" t="s">
        <v>124</v>
      </c>
      <c r="F18" s="20" t="s">
        <v>125</v>
      </c>
      <c r="G18" s="21" t="s">
        <v>126</v>
      </c>
    </row>
    <row r="19" customFormat="false" ht="15" hidden="false" customHeight="true" outlineLevel="0" collapsed="false">
      <c r="B19" s="24"/>
      <c r="C19" s="20" t="s">
        <v>127</v>
      </c>
      <c r="D19" s="20" t="s">
        <v>128</v>
      </c>
      <c r="E19" s="20" t="s">
        <v>129</v>
      </c>
      <c r="F19" s="20" t="s">
        <v>130</v>
      </c>
      <c r="G19" s="21" t="s">
        <v>126</v>
      </c>
    </row>
    <row r="20" customFormat="false" ht="15" hidden="false" customHeight="true" outlineLevel="0" collapsed="false">
      <c r="B20" s="24"/>
      <c r="C20" s="20" t="s">
        <v>131</v>
      </c>
      <c r="D20" s="20" t="s">
        <v>132</v>
      </c>
      <c r="E20" s="20" t="s">
        <v>133</v>
      </c>
      <c r="F20" s="20" t="s">
        <v>134</v>
      </c>
      <c r="G20" s="21" t="s">
        <v>135</v>
      </c>
    </row>
    <row r="21" customFormat="false" ht="15" hidden="false" customHeight="true" outlineLevel="0" collapsed="false">
      <c r="B21" s="24"/>
      <c r="C21" s="20" t="s">
        <v>136</v>
      </c>
      <c r="D21" s="20" t="s">
        <v>137</v>
      </c>
      <c r="E21" s="20" t="s">
        <v>138</v>
      </c>
      <c r="F21" s="20" t="s">
        <v>139</v>
      </c>
      <c r="G21" s="21" t="s">
        <v>135</v>
      </c>
    </row>
    <row r="22" customFormat="false" ht="15" hidden="false" customHeight="true" outlineLevel="0" collapsed="false">
      <c r="B22" s="25" t="s">
        <v>140</v>
      </c>
      <c r="C22" s="20" t="s">
        <v>141</v>
      </c>
      <c r="D22" s="20" t="s">
        <v>142</v>
      </c>
      <c r="E22" s="20" t="s">
        <v>143</v>
      </c>
      <c r="F22" s="20" t="s">
        <v>144</v>
      </c>
      <c r="G22" s="21" t="s">
        <v>145</v>
      </c>
    </row>
    <row r="23" customFormat="false" ht="15" hidden="false" customHeight="true" outlineLevel="0" collapsed="false">
      <c r="B23" s="25"/>
      <c r="C23" s="20" t="s">
        <v>146</v>
      </c>
      <c r="D23" s="20" t="s">
        <v>147</v>
      </c>
      <c r="E23" s="20" t="s">
        <v>148</v>
      </c>
      <c r="F23" s="20" t="s">
        <v>149</v>
      </c>
      <c r="G23" s="21" t="s">
        <v>145</v>
      </c>
    </row>
    <row r="24" customFormat="false" ht="15" hidden="false" customHeight="true" outlineLevel="0" collapsed="false">
      <c r="B24" s="25"/>
      <c r="C24" s="20" t="s">
        <v>150</v>
      </c>
      <c r="D24" s="20" t="s">
        <v>151</v>
      </c>
      <c r="E24" s="20" t="s">
        <v>152</v>
      </c>
      <c r="F24" s="20" t="s">
        <v>153</v>
      </c>
      <c r="G24" s="21" t="s">
        <v>145</v>
      </c>
    </row>
    <row r="25" customFormat="false" ht="15" hidden="false" customHeight="true" outlineLevel="0" collapsed="false">
      <c r="B25" s="25"/>
      <c r="C25" s="20" t="s">
        <v>154</v>
      </c>
      <c r="D25" s="20" t="s">
        <v>155</v>
      </c>
      <c r="E25" s="20" t="s">
        <v>156</v>
      </c>
      <c r="F25" s="20" t="s">
        <v>157</v>
      </c>
      <c r="G25" s="21" t="s">
        <v>121</v>
      </c>
    </row>
    <row r="26" customFormat="false" ht="15" hidden="false" customHeight="true" outlineLevel="0" collapsed="false">
      <c r="B26" s="25"/>
      <c r="C26" s="20" t="s">
        <v>158</v>
      </c>
      <c r="D26" s="20" t="s">
        <v>159</v>
      </c>
      <c r="E26" s="20" t="s">
        <v>160</v>
      </c>
      <c r="F26" s="20" t="s">
        <v>161</v>
      </c>
      <c r="G26" s="21" t="s">
        <v>162</v>
      </c>
    </row>
    <row r="27" customFormat="false" ht="15" hidden="false" customHeight="true" outlineLevel="0" collapsed="false">
      <c r="B27" s="25"/>
      <c r="C27" s="20" t="s">
        <v>163</v>
      </c>
      <c r="D27" s="20" t="s">
        <v>164</v>
      </c>
      <c r="E27" s="20" t="s">
        <v>165</v>
      </c>
      <c r="F27" s="20" t="s">
        <v>166</v>
      </c>
      <c r="G27" s="21" t="s">
        <v>145</v>
      </c>
    </row>
    <row r="28" customFormat="false" ht="15" hidden="false" customHeight="true" outlineLevel="0" collapsed="false">
      <c r="B28" s="26" t="s">
        <v>167</v>
      </c>
      <c r="C28" s="20" t="s">
        <v>168</v>
      </c>
      <c r="D28" s="20" t="s">
        <v>169</v>
      </c>
      <c r="E28" s="20" t="s">
        <v>170</v>
      </c>
      <c r="F28" s="20" t="s">
        <v>171</v>
      </c>
      <c r="G28" s="21" t="s">
        <v>145</v>
      </c>
    </row>
    <row r="29" customFormat="false" ht="15" hidden="false" customHeight="true" outlineLevel="0" collapsed="false">
      <c r="B29" s="26"/>
      <c r="C29" s="20" t="s">
        <v>172</v>
      </c>
      <c r="D29" s="20" t="s">
        <v>173</v>
      </c>
      <c r="E29" s="20" t="s">
        <v>174</v>
      </c>
      <c r="F29" s="20" t="s">
        <v>175</v>
      </c>
      <c r="G29" s="21" t="s">
        <v>176</v>
      </c>
    </row>
    <row r="30" customFormat="false" ht="15" hidden="false" customHeight="true" outlineLevel="0" collapsed="false">
      <c r="B30" s="26"/>
      <c r="C30" s="20" t="s">
        <v>177</v>
      </c>
      <c r="D30" s="20" t="s">
        <v>178</v>
      </c>
      <c r="E30" s="20" t="s">
        <v>179</v>
      </c>
      <c r="F30" s="20" t="s">
        <v>180</v>
      </c>
      <c r="G30" s="21" t="s">
        <v>145</v>
      </c>
    </row>
    <row r="31" customFormat="false" ht="15" hidden="false" customHeight="true" outlineLevel="0" collapsed="false">
      <c r="B31" s="26"/>
      <c r="C31" s="20" t="s">
        <v>181</v>
      </c>
      <c r="D31" s="20" t="s">
        <v>182</v>
      </c>
      <c r="E31" s="20" t="s">
        <v>183</v>
      </c>
      <c r="F31" s="20" t="s">
        <v>184</v>
      </c>
      <c r="G31" s="21" t="s">
        <v>145</v>
      </c>
    </row>
    <row r="32" customFormat="false" ht="15" hidden="false" customHeight="true" outlineLevel="0" collapsed="false">
      <c r="B32" s="26"/>
      <c r="C32" s="20" t="s">
        <v>185</v>
      </c>
      <c r="D32" s="20" t="s">
        <v>186</v>
      </c>
      <c r="E32" s="20" t="s">
        <v>187</v>
      </c>
      <c r="F32" s="20" t="s">
        <v>188</v>
      </c>
      <c r="G32" s="21" t="s">
        <v>189</v>
      </c>
    </row>
    <row r="33" customFormat="false" ht="15" hidden="false" customHeight="true" outlineLevel="0" collapsed="false">
      <c r="B33" s="26"/>
      <c r="C33" s="20" t="s">
        <v>190</v>
      </c>
      <c r="D33" s="20" t="s">
        <v>191</v>
      </c>
      <c r="E33" s="20" t="s">
        <v>192</v>
      </c>
      <c r="F33" s="20" t="s">
        <v>193</v>
      </c>
      <c r="G33" s="21" t="s">
        <v>189</v>
      </c>
    </row>
    <row r="34" customFormat="false" ht="15" hidden="false" customHeight="true" outlineLevel="0" collapsed="false">
      <c r="B34" s="26"/>
      <c r="C34" s="20" t="s">
        <v>194</v>
      </c>
      <c r="D34" s="20" t="s">
        <v>195</v>
      </c>
      <c r="E34" s="20" t="s">
        <v>196</v>
      </c>
      <c r="F34" s="20" t="s">
        <v>197</v>
      </c>
      <c r="G34" s="21" t="s">
        <v>162</v>
      </c>
    </row>
    <row r="35" customFormat="false" ht="15" hidden="false" customHeight="true" outlineLevel="0" collapsed="false">
      <c r="B35" s="26"/>
      <c r="C35" s="20" t="s">
        <v>198</v>
      </c>
      <c r="D35" s="20" t="s">
        <v>199</v>
      </c>
      <c r="E35" s="20" t="s">
        <v>200</v>
      </c>
      <c r="F35" s="20" t="s">
        <v>201</v>
      </c>
      <c r="G35" s="21" t="s">
        <v>189</v>
      </c>
    </row>
    <row r="36" customFormat="false" ht="15" hidden="false" customHeight="true" outlineLevel="0" collapsed="false">
      <c r="B36" s="27" t="s">
        <v>202</v>
      </c>
      <c r="C36" s="20" t="s">
        <v>203</v>
      </c>
      <c r="D36" s="20" t="s">
        <v>204</v>
      </c>
      <c r="E36" s="20" t="s">
        <v>205</v>
      </c>
      <c r="F36" s="20" t="s">
        <v>206</v>
      </c>
      <c r="G36" s="21" t="s">
        <v>207</v>
      </c>
    </row>
    <row r="37" customFormat="false" ht="15" hidden="false" customHeight="true" outlineLevel="0" collapsed="false">
      <c r="B37" s="27"/>
      <c r="C37" s="20" t="s">
        <v>208</v>
      </c>
      <c r="D37" s="20" t="s">
        <v>209</v>
      </c>
      <c r="E37" s="20" t="s">
        <v>210</v>
      </c>
      <c r="F37" s="20" t="s">
        <v>211</v>
      </c>
      <c r="G37" s="21" t="s">
        <v>189</v>
      </c>
    </row>
    <row r="38" customFormat="false" ht="15" hidden="false" customHeight="true" outlineLevel="0" collapsed="false">
      <c r="B38" s="27"/>
      <c r="C38" s="20" t="s">
        <v>212</v>
      </c>
      <c r="D38" s="20" t="s">
        <v>213</v>
      </c>
      <c r="E38" s="20" t="s">
        <v>214</v>
      </c>
      <c r="F38" s="20" t="s">
        <v>215</v>
      </c>
      <c r="G38" s="21" t="s">
        <v>189</v>
      </c>
    </row>
    <row r="39" customFormat="false" ht="15" hidden="false" customHeight="true" outlineLevel="0" collapsed="false">
      <c r="B39" s="27"/>
      <c r="C39" s="20" t="s">
        <v>216</v>
      </c>
      <c r="D39" s="20" t="s">
        <v>217</v>
      </c>
      <c r="E39" s="20" t="s">
        <v>218</v>
      </c>
      <c r="F39" s="20" t="s">
        <v>219</v>
      </c>
      <c r="G39" s="21" t="s">
        <v>189</v>
      </c>
    </row>
    <row r="40" customFormat="false" ht="15" hidden="false" customHeight="true" outlineLevel="0" collapsed="false">
      <c r="B40" s="27"/>
      <c r="C40" s="20" t="s">
        <v>220</v>
      </c>
      <c r="D40" s="20" t="s">
        <v>221</v>
      </c>
      <c r="E40" s="20" t="s">
        <v>222</v>
      </c>
      <c r="F40" s="20" t="s">
        <v>223</v>
      </c>
      <c r="G40" s="21" t="s">
        <v>224</v>
      </c>
    </row>
    <row r="41" customFormat="false" ht="15" hidden="false" customHeight="true" outlineLevel="0" collapsed="false">
      <c r="B41" s="27"/>
      <c r="C41" s="20" t="s">
        <v>225</v>
      </c>
      <c r="D41" s="20" t="s">
        <v>226</v>
      </c>
      <c r="E41" s="20" t="s">
        <v>227</v>
      </c>
      <c r="F41" s="20" t="s">
        <v>228</v>
      </c>
      <c r="G41" s="21" t="s">
        <v>224</v>
      </c>
    </row>
    <row r="42" customFormat="false" ht="15" hidden="false" customHeight="true" outlineLevel="0" collapsed="false">
      <c r="B42" s="27"/>
      <c r="C42" s="20" t="s">
        <v>229</v>
      </c>
      <c r="D42" s="20" t="s">
        <v>230</v>
      </c>
      <c r="E42" s="20" t="s">
        <v>231</v>
      </c>
      <c r="F42" s="20" t="s">
        <v>232</v>
      </c>
      <c r="G42" s="21" t="s">
        <v>233</v>
      </c>
    </row>
    <row r="43" customFormat="false" ht="15" hidden="false" customHeight="true" outlineLevel="0" collapsed="false">
      <c r="B43" s="27"/>
      <c r="C43" s="20" t="s">
        <v>234</v>
      </c>
      <c r="D43" s="20" t="s">
        <v>235</v>
      </c>
      <c r="E43" s="20" t="s">
        <v>236</v>
      </c>
      <c r="F43" s="20" t="s">
        <v>237</v>
      </c>
      <c r="G43" s="21" t="s">
        <v>233</v>
      </c>
    </row>
    <row r="44" customFormat="false" ht="15" hidden="false" customHeight="true" outlineLevel="0" collapsed="false">
      <c r="B44" s="27"/>
      <c r="C44" s="20" t="s">
        <v>238</v>
      </c>
      <c r="D44" s="20" t="s">
        <v>239</v>
      </c>
      <c r="E44" s="20" t="s">
        <v>240</v>
      </c>
      <c r="F44" s="20" t="s">
        <v>241</v>
      </c>
      <c r="G44" s="21" t="s">
        <v>224</v>
      </c>
    </row>
    <row r="45" customFormat="false" ht="15" hidden="false" customHeight="true" outlineLevel="0" collapsed="false">
      <c r="B45" s="27"/>
      <c r="C45" s="20" t="s">
        <v>242</v>
      </c>
      <c r="D45" s="20" t="s">
        <v>243</v>
      </c>
      <c r="E45" s="20" t="s">
        <v>244</v>
      </c>
      <c r="F45" s="20" t="s">
        <v>245</v>
      </c>
      <c r="G45" s="21" t="s">
        <v>224</v>
      </c>
    </row>
    <row r="46" customFormat="false" ht="15" hidden="false" customHeight="true" outlineLevel="0" collapsed="false">
      <c r="B46" s="27"/>
      <c r="C46" s="20" t="s">
        <v>246</v>
      </c>
      <c r="D46" s="20" t="s">
        <v>247</v>
      </c>
      <c r="E46" s="20" t="s">
        <v>248</v>
      </c>
      <c r="F46" s="20" t="s">
        <v>249</v>
      </c>
      <c r="G46" s="21" t="s">
        <v>224</v>
      </c>
    </row>
    <row r="47" customFormat="false" ht="15" hidden="false" customHeight="true" outlineLevel="0" collapsed="false">
      <c r="B47" s="27"/>
      <c r="C47" s="20" t="s">
        <v>250</v>
      </c>
      <c r="D47" s="20" t="s">
        <v>251</v>
      </c>
      <c r="E47" s="20" t="s">
        <v>88</v>
      </c>
      <c r="F47" s="20" t="s">
        <v>252</v>
      </c>
      <c r="G47" s="21" t="s">
        <v>253</v>
      </c>
    </row>
    <row r="48" customFormat="false" ht="15" hidden="false" customHeight="true" outlineLevel="0" collapsed="false">
      <c r="B48" s="27"/>
      <c r="C48" s="20" t="s">
        <v>254</v>
      </c>
      <c r="D48" s="20" t="s">
        <v>255</v>
      </c>
      <c r="E48" s="20" t="s">
        <v>256</v>
      </c>
      <c r="F48" s="20" t="s">
        <v>257</v>
      </c>
      <c r="G48" s="21" t="s">
        <v>258</v>
      </c>
    </row>
    <row r="49" customFormat="false" ht="15" hidden="false" customHeight="true" outlineLevel="0" collapsed="false">
      <c r="B49" s="27"/>
      <c r="C49" s="20" t="s">
        <v>259</v>
      </c>
      <c r="D49" s="20" t="s">
        <v>260</v>
      </c>
      <c r="E49" s="20" t="s">
        <v>261</v>
      </c>
      <c r="F49" s="20" t="s">
        <v>262</v>
      </c>
      <c r="G49" s="21" t="s">
        <v>258</v>
      </c>
    </row>
    <row r="50" customFormat="false" ht="15" hidden="false" customHeight="true" outlineLevel="0" collapsed="false">
      <c r="B50" s="27"/>
      <c r="C50" s="20" t="s">
        <v>263</v>
      </c>
      <c r="D50" s="20" t="s">
        <v>264</v>
      </c>
      <c r="E50" s="20" t="s">
        <v>265</v>
      </c>
      <c r="F50" s="20" t="s">
        <v>266</v>
      </c>
      <c r="G50" s="21" t="s">
        <v>258</v>
      </c>
    </row>
    <row r="51" customFormat="false" ht="15" hidden="false" customHeight="true" outlineLevel="0" collapsed="false">
      <c r="B51" s="27"/>
      <c r="C51" s="20" t="s">
        <v>267</v>
      </c>
      <c r="D51" s="20" t="s">
        <v>268</v>
      </c>
      <c r="E51" s="20" t="s">
        <v>269</v>
      </c>
      <c r="F51" s="20" t="s">
        <v>270</v>
      </c>
      <c r="G51" s="21" t="s">
        <v>258</v>
      </c>
    </row>
    <row r="52" customFormat="false" ht="15" hidden="false" customHeight="true" outlineLevel="0" collapsed="false">
      <c r="B52" s="27"/>
      <c r="C52" s="20" t="s">
        <v>271</v>
      </c>
      <c r="D52" s="20" t="s">
        <v>272</v>
      </c>
      <c r="E52" s="20" t="s">
        <v>273</v>
      </c>
      <c r="F52" s="20" t="s">
        <v>274</v>
      </c>
      <c r="G52" s="21" t="s">
        <v>258</v>
      </c>
    </row>
    <row r="53" customFormat="false" ht="15" hidden="false" customHeight="true" outlineLevel="0" collapsed="false">
      <c r="B53" s="27"/>
      <c r="C53" s="20" t="s">
        <v>275</v>
      </c>
      <c r="D53" s="20" t="s">
        <v>276</v>
      </c>
      <c r="E53" s="20" t="s">
        <v>277</v>
      </c>
      <c r="F53" s="20" t="s">
        <v>278</v>
      </c>
      <c r="G53" s="21" t="s">
        <v>258</v>
      </c>
    </row>
  </sheetData>
  <mergeCells count="8">
    <mergeCell ref="B2:G2"/>
    <mergeCell ref="B5:B7"/>
    <mergeCell ref="B8:B10"/>
    <mergeCell ref="B11:B15"/>
    <mergeCell ref="B16:B21"/>
    <mergeCell ref="B22:B27"/>
    <mergeCell ref="B28:B35"/>
    <mergeCell ref="B36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20"/>
    <col collapsed="false" customWidth="true" hidden="false" outlineLevel="0" max="7" min="7" style="1" width="22"/>
  </cols>
  <sheetData>
    <row r="2" customFormat="false" ht="34.5" hidden="false" customHeight="true" outlineLevel="0" collapsed="false">
      <c r="B2" s="10" t="s">
        <v>279</v>
      </c>
      <c r="C2" s="10"/>
      <c r="D2" s="10"/>
      <c r="E2" s="10"/>
      <c r="F2" s="10"/>
      <c r="G2" s="10"/>
      <c r="H2" s="10"/>
    </row>
    <row r="4" customFormat="false" ht="15" hidden="false" customHeight="true" outlineLevel="0" collapsed="false">
      <c r="B4" s="28" t="s">
        <v>280</v>
      </c>
    </row>
    <row r="5" customFormat="false" ht="15" hidden="false" customHeight="true" outlineLevel="0" collapsed="false">
      <c r="B5" s="18" t="s">
        <v>281</v>
      </c>
      <c r="C5" s="18" t="s">
        <v>282</v>
      </c>
      <c r="D5" s="18" t="s">
        <v>283</v>
      </c>
      <c r="E5" s="18" t="s">
        <v>284</v>
      </c>
      <c r="F5" s="18" t="s">
        <v>55</v>
      </c>
    </row>
    <row r="6" customFormat="false" ht="15" hidden="false" customHeight="true" outlineLevel="0" collapsed="false">
      <c r="B6" s="29" t="s">
        <v>285</v>
      </c>
      <c r="C6" s="29" t="s">
        <v>286</v>
      </c>
      <c r="D6" s="29" t="s">
        <v>287</v>
      </c>
      <c r="E6" s="29" t="s">
        <v>288</v>
      </c>
      <c r="F6" s="30" t="s">
        <v>289</v>
      </c>
    </row>
    <row r="7" customFormat="false" ht="15" hidden="false" customHeight="true" outlineLevel="0" collapsed="false">
      <c r="B7" s="20" t="s">
        <v>290</v>
      </c>
      <c r="C7" s="20" t="s">
        <v>291</v>
      </c>
      <c r="D7" s="20" t="s">
        <v>292</v>
      </c>
      <c r="E7" s="20" t="s">
        <v>288</v>
      </c>
      <c r="F7" s="21" t="s">
        <v>289</v>
      </c>
    </row>
    <row r="8" customFormat="false" ht="15" hidden="false" customHeight="true" outlineLevel="0" collapsed="false">
      <c r="B8" s="29" t="s">
        <v>293</v>
      </c>
      <c r="C8" s="29" t="s">
        <v>294</v>
      </c>
      <c r="D8" s="29" t="s">
        <v>295</v>
      </c>
      <c r="E8" s="29" t="s">
        <v>288</v>
      </c>
      <c r="F8" s="30" t="s">
        <v>289</v>
      </c>
    </row>
    <row r="9" customFormat="false" ht="15" hidden="false" customHeight="true" outlineLevel="0" collapsed="false">
      <c r="B9" s="20" t="s">
        <v>296</v>
      </c>
      <c r="C9" s="20" t="s">
        <v>297</v>
      </c>
      <c r="D9" s="20" t="s">
        <v>298</v>
      </c>
      <c r="E9" s="20" t="s">
        <v>288</v>
      </c>
      <c r="F9" s="21" t="s">
        <v>289</v>
      </c>
    </row>
    <row r="10" customFormat="false" ht="15" hidden="false" customHeight="true" outlineLevel="0" collapsed="false">
      <c r="B10" s="29" t="s">
        <v>299</v>
      </c>
      <c r="C10" s="29" t="s">
        <v>300</v>
      </c>
      <c r="D10" s="29" t="s">
        <v>301</v>
      </c>
      <c r="E10" s="29" t="s">
        <v>288</v>
      </c>
      <c r="F10" s="30" t="s">
        <v>289</v>
      </c>
    </row>
    <row r="11" customFormat="false" ht="15" hidden="false" customHeight="true" outlineLevel="0" collapsed="false">
      <c r="B11" s="20" t="s">
        <v>302</v>
      </c>
      <c r="C11" s="20" t="s">
        <v>303</v>
      </c>
      <c r="D11" s="20" t="s">
        <v>304</v>
      </c>
      <c r="E11" s="20" t="s">
        <v>288</v>
      </c>
      <c r="F11" s="21" t="s">
        <v>289</v>
      </c>
    </row>
    <row r="13" customFormat="false" ht="15" hidden="false" customHeight="true" outlineLevel="0" collapsed="false">
      <c r="B13" s="28" t="s">
        <v>305</v>
      </c>
    </row>
    <row r="14" customFormat="false" ht="15" hidden="false" customHeight="true" outlineLevel="0" collapsed="false">
      <c r="B14" s="18" t="s">
        <v>306</v>
      </c>
      <c r="C14" s="18" t="s">
        <v>307</v>
      </c>
      <c r="D14" s="18" t="s">
        <v>308</v>
      </c>
      <c r="E14" s="18" t="s">
        <v>309</v>
      </c>
      <c r="F14" s="18" t="s">
        <v>310</v>
      </c>
      <c r="G14" s="18" t="s">
        <v>55</v>
      </c>
    </row>
    <row r="15" customFormat="false" ht="15" hidden="false" customHeight="true" outlineLevel="0" collapsed="false">
      <c r="B15" s="31" t="s">
        <v>311</v>
      </c>
      <c r="C15" s="32" t="s">
        <v>312</v>
      </c>
      <c r="D15" s="33" t="s">
        <v>313</v>
      </c>
      <c r="E15" s="32" t="s">
        <v>314</v>
      </c>
      <c r="F15" s="32" t="s">
        <v>315</v>
      </c>
      <c r="G15" s="31" t="s">
        <v>316</v>
      </c>
    </row>
    <row r="16" customFormat="false" ht="15" hidden="false" customHeight="true" outlineLevel="0" collapsed="false">
      <c r="B16" s="34" t="s">
        <v>317</v>
      </c>
      <c r="C16" s="35" t="s">
        <v>318</v>
      </c>
      <c r="D16" s="36" t="s">
        <v>319</v>
      </c>
      <c r="E16" s="35" t="s">
        <v>314</v>
      </c>
      <c r="F16" s="35" t="s">
        <v>320</v>
      </c>
      <c r="G16" s="35" t="s">
        <v>321</v>
      </c>
    </row>
    <row r="17" customFormat="false" ht="15" hidden="false" customHeight="true" outlineLevel="0" collapsed="false">
      <c r="B17" s="31" t="s">
        <v>322</v>
      </c>
      <c r="C17" s="32" t="s">
        <v>323</v>
      </c>
      <c r="D17" s="33" t="s">
        <v>324</v>
      </c>
      <c r="E17" s="32" t="s">
        <v>314</v>
      </c>
      <c r="F17" s="32" t="s">
        <v>325</v>
      </c>
      <c r="G17" s="32" t="s">
        <v>326</v>
      </c>
    </row>
    <row r="18" customFormat="false" ht="15" hidden="false" customHeight="true" outlineLevel="0" collapsed="false">
      <c r="B18" s="34" t="s">
        <v>327</v>
      </c>
      <c r="C18" s="35" t="s">
        <v>328</v>
      </c>
      <c r="D18" s="36" t="s">
        <v>329</v>
      </c>
      <c r="E18" s="35" t="s">
        <v>314</v>
      </c>
      <c r="F18" s="35" t="s">
        <v>330</v>
      </c>
      <c r="G18" s="35" t="s">
        <v>326</v>
      </c>
    </row>
    <row r="19" customFormat="false" ht="15" hidden="false" customHeight="true" outlineLevel="0" collapsed="false">
      <c r="B19" s="31" t="s">
        <v>331</v>
      </c>
      <c r="C19" s="32" t="s">
        <v>332</v>
      </c>
      <c r="D19" s="33" t="s">
        <v>333</v>
      </c>
      <c r="E19" s="32" t="s">
        <v>314</v>
      </c>
      <c r="F19" s="32" t="s">
        <v>334</v>
      </c>
      <c r="G19" s="32" t="s">
        <v>326</v>
      </c>
    </row>
    <row r="20" customFormat="false" ht="15" hidden="false" customHeight="true" outlineLevel="0" collapsed="false">
      <c r="B20" s="34" t="s">
        <v>335</v>
      </c>
      <c r="C20" s="35" t="s">
        <v>336</v>
      </c>
      <c r="D20" s="36" t="s">
        <v>337</v>
      </c>
      <c r="E20" s="35" t="s">
        <v>314</v>
      </c>
      <c r="F20" s="35" t="s">
        <v>338</v>
      </c>
      <c r="G20" s="35" t="s">
        <v>339</v>
      </c>
    </row>
    <row r="21" customFormat="false" ht="15" hidden="false" customHeight="true" outlineLevel="0" collapsed="false">
      <c r="B21" s="31" t="s">
        <v>340</v>
      </c>
      <c r="C21" s="32" t="s">
        <v>341</v>
      </c>
      <c r="D21" s="33" t="s">
        <v>342</v>
      </c>
      <c r="E21" s="32" t="s">
        <v>314</v>
      </c>
      <c r="F21" s="32" t="s">
        <v>343</v>
      </c>
      <c r="G21" s="32" t="s">
        <v>344</v>
      </c>
    </row>
    <row r="22" customFormat="false" ht="15" hidden="false" customHeight="true" outlineLevel="0" collapsed="false">
      <c r="B22" s="34" t="s">
        <v>345</v>
      </c>
      <c r="C22" s="35" t="s">
        <v>346</v>
      </c>
      <c r="D22" s="36" t="s">
        <v>347</v>
      </c>
      <c r="E22" s="35" t="s">
        <v>314</v>
      </c>
      <c r="F22" s="35" t="s">
        <v>348</v>
      </c>
      <c r="G22" s="34" t="s">
        <v>349</v>
      </c>
    </row>
    <row r="23" customFormat="false" ht="15" hidden="false" customHeight="true" outlineLevel="0" collapsed="false">
      <c r="B23" s="31" t="s">
        <v>350</v>
      </c>
      <c r="C23" s="32" t="s">
        <v>351</v>
      </c>
      <c r="D23" s="33" t="s">
        <v>313</v>
      </c>
      <c r="E23" s="32" t="s">
        <v>314</v>
      </c>
      <c r="F23" s="32" t="s">
        <v>352</v>
      </c>
      <c r="G23" s="31" t="s">
        <v>353</v>
      </c>
    </row>
    <row r="24" customFormat="false" ht="15" hidden="false" customHeight="true" outlineLevel="0" collapsed="false">
      <c r="B24" s="34" t="s">
        <v>354</v>
      </c>
      <c r="C24" s="35" t="s">
        <v>355</v>
      </c>
      <c r="D24" s="36" t="s">
        <v>356</v>
      </c>
      <c r="E24" s="35" t="s">
        <v>357</v>
      </c>
      <c r="F24" s="35" t="s">
        <v>358</v>
      </c>
      <c r="G24" s="35" t="s">
        <v>359</v>
      </c>
    </row>
    <row r="25" customFormat="false" ht="15" hidden="false" customHeight="true" outlineLevel="0" collapsed="false">
      <c r="B25" s="31" t="s">
        <v>360</v>
      </c>
      <c r="C25" s="32" t="s">
        <v>361</v>
      </c>
      <c r="D25" s="33" t="s">
        <v>362</v>
      </c>
      <c r="E25" s="32" t="s">
        <v>314</v>
      </c>
      <c r="F25" s="31" t="s">
        <v>363</v>
      </c>
      <c r="G25" s="32" t="s">
        <v>364</v>
      </c>
    </row>
    <row r="26" customFormat="false" ht="15" hidden="false" customHeight="true" outlineLevel="0" collapsed="false">
      <c r="B26" s="34" t="s">
        <v>365</v>
      </c>
      <c r="C26" s="35" t="s">
        <v>366</v>
      </c>
      <c r="D26" s="36" t="s">
        <v>324</v>
      </c>
      <c r="E26" s="35" t="s">
        <v>314</v>
      </c>
      <c r="F26" s="35" t="s">
        <v>367</v>
      </c>
      <c r="G26" s="35" t="s">
        <v>368</v>
      </c>
    </row>
    <row r="27" customFormat="false" ht="15" hidden="false" customHeight="true" outlineLevel="0" collapsed="false">
      <c r="B27" s="31" t="s">
        <v>369</v>
      </c>
      <c r="C27" s="32" t="s">
        <v>370</v>
      </c>
      <c r="D27" s="33" t="s">
        <v>371</v>
      </c>
      <c r="E27" s="32" t="s">
        <v>314</v>
      </c>
      <c r="F27" s="32" t="s">
        <v>372</v>
      </c>
      <c r="G27" s="32" t="s">
        <v>373</v>
      </c>
    </row>
    <row r="28" customFormat="false" ht="15" hidden="false" customHeight="true" outlineLevel="0" collapsed="false">
      <c r="B28" s="34" t="s">
        <v>374</v>
      </c>
      <c r="C28" s="35" t="s">
        <v>375</v>
      </c>
      <c r="D28" s="36" t="s">
        <v>376</v>
      </c>
      <c r="E28" s="35" t="s">
        <v>314</v>
      </c>
      <c r="F28" s="35" t="s">
        <v>377</v>
      </c>
      <c r="G28" s="35" t="s">
        <v>378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35"/>
  </cols>
  <sheetData>
    <row r="2" customFormat="false" ht="34.5" hidden="false" customHeight="true" outlineLevel="0" collapsed="false">
      <c r="B2" s="10" t="s">
        <v>379</v>
      </c>
      <c r="C2" s="10"/>
      <c r="D2" s="10"/>
      <c r="E2" s="10"/>
      <c r="F2" s="10"/>
      <c r="G2" s="10"/>
      <c r="H2" s="10"/>
      <c r="I2" s="10"/>
      <c r="J2" s="10"/>
      <c r="K2" s="10"/>
    </row>
    <row r="4" customFormat="false" ht="15" hidden="false" customHeight="true" outlineLevel="0" collapsed="false">
      <c r="B4" s="37" t="s">
        <v>380</v>
      </c>
    </row>
    <row r="5" customFormat="false" ht="15" hidden="false" customHeight="true" outlineLevel="0" collapsed="false">
      <c r="B5" s="18" t="s">
        <v>381</v>
      </c>
      <c r="C5" s="18" t="s">
        <v>382</v>
      </c>
      <c r="D5" s="18" t="s">
        <v>15</v>
      </c>
    </row>
    <row r="6" customFormat="false" ht="15" hidden="false" customHeight="true" outlineLevel="0" collapsed="false">
      <c r="B6" s="30" t="s">
        <v>383</v>
      </c>
      <c r="C6" s="29" t="s">
        <v>384</v>
      </c>
      <c r="D6" s="30" t="s">
        <v>385</v>
      </c>
    </row>
    <row r="7" customFormat="false" ht="15" hidden="false" customHeight="true" outlineLevel="0" collapsed="false">
      <c r="B7" s="21" t="s">
        <v>386</v>
      </c>
      <c r="C7" s="20" t="s">
        <v>387</v>
      </c>
      <c r="D7" s="21" t="s">
        <v>388</v>
      </c>
    </row>
    <row r="8" customFormat="false" ht="15" hidden="false" customHeight="true" outlineLevel="0" collapsed="false">
      <c r="B8" s="30" t="s">
        <v>389</v>
      </c>
      <c r="C8" s="29" t="s">
        <v>390</v>
      </c>
      <c r="D8" s="29" t="s">
        <v>202</v>
      </c>
    </row>
    <row r="9" customFormat="false" ht="15" hidden="false" customHeight="true" outlineLevel="0" collapsed="false">
      <c r="B9" s="21" t="s">
        <v>391</v>
      </c>
      <c r="C9" s="20" t="s">
        <v>392</v>
      </c>
      <c r="D9" s="21" t="s">
        <v>393</v>
      </c>
    </row>
    <row r="10" customFormat="false" ht="15" hidden="false" customHeight="true" outlineLevel="0" collapsed="false">
      <c r="B10" s="30" t="s">
        <v>394</v>
      </c>
      <c r="C10" s="29" t="s">
        <v>34</v>
      </c>
      <c r="D10" s="30" t="s">
        <v>395</v>
      </c>
    </row>
    <row r="11" customFormat="false" ht="15" hidden="false" customHeight="true" outlineLevel="0" collapsed="false">
      <c r="B11" s="21" t="s">
        <v>396</v>
      </c>
      <c r="C11" s="20" t="s">
        <v>397</v>
      </c>
      <c r="D11" s="20" t="s">
        <v>398</v>
      </c>
    </row>
    <row r="13" customFormat="false" ht="15" hidden="false" customHeight="true" outlineLevel="0" collapsed="false">
      <c r="B13" s="38" t="s">
        <v>399</v>
      </c>
    </row>
    <row r="14" customFormat="false" ht="15" hidden="false" customHeight="true" outlineLevel="0" collapsed="false">
      <c r="B14" s="39" t="s">
        <v>400</v>
      </c>
      <c r="C14" s="39" t="s">
        <v>308</v>
      </c>
      <c r="D14" s="39" t="s">
        <v>401</v>
      </c>
    </row>
    <row r="15" customFormat="false" ht="15" hidden="false" customHeight="true" outlineLevel="0" collapsed="false">
      <c r="B15" s="21" t="s">
        <v>396</v>
      </c>
      <c r="C15" s="40" t="n">
        <v>19</v>
      </c>
      <c r="D15" s="20" t="s">
        <v>402</v>
      </c>
    </row>
    <row r="16" customFormat="false" ht="15" hidden="false" customHeight="true" outlineLevel="0" collapsed="false">
      <c r="B16" s="21" t="s">
        <v>403</v>
      </c>
      <c r="C16" s="40" t="n">
        <v>4.13</v>
      </c>
      <c r="D16" s="41" t="s">
        <v>404</v>
      </c>
    </row>
    <row r="17" customFormat="false" ht="15" hidden="false" customHeight="true" outlineLevel="0" collapsed="false">
      <c r="B17" s="21" t="s">
        <v>312</v>
      </c>
      <c r="C17" s="40" t="n">
        <v>5.5</v>
      </c>
      <c r="D17" s="21" t="s">
        <v>315</v>
      </c>
    </row>
    <row r="18" customFormat="false" ht="15" hidden="false" customHeight="true" outlineLevel="0" collapsed="false">
      <c r="B18" s="21" t="s">
        <v>351</v>
      </c>
      <c r="C18" s="40" t="n">
        <v>5.5</v>
      </c>
      <c r="D18" s="21" t="s">
        <v>352</v>
      </c>
    </row>
    <row r="19" customFormat="false" ht="15" hidden="false" customHeight="true" outlineLevel="0" collapsed="false">
      <c r="B19" s="42" t="s">
        <v>405</v>
      </c>
      <c r="C19" s="43" t="n">
        <f aca="false">SUM(C15:C18)</f>
        <v>34.13</v>
      </c>
      <c r="D19" s="44" t="s">
        <v>406</v>
      </c>
    </row>
    <row r="22" customFormat="false" ht="15" hidden="false" customHeight="true" outlineLevel="0" collapsed="false">
      <c r="B22" s="37" t="s">
        <v>407</v>
      </c>
    </row>
    <row r="23" customFormat="false" ht="15" hidden="false" customHeight="true" outlineLevel="0" collapsed="false">
      <c r="B23" s="18" t="s">
        <v>381</v>
      </c>
      <c r="C23" s="18" t="s">
        <v>382</v>
      </c>
      <c r="D23" s="18" t="s">
        <v>15</v>
      </c>
    </row>
    <row r="24" customFormat="false" ht="15" hidden="false" customHeight="true" outlineLevel="0" collapsed="false">
      <c r="B24" s="30" t="s">
        <v>383</v>
      </c>
      <c r="C24" s="29" t="s">
        <v>408</v>
      </c>
      <c r="D24" s="30" t="s">
        <v>409</v>
      </c>
    </row>
    <row r="25" customFormat="false" ht="15" hidden="false" customHeight="true" outlineLevel="0" collapsed="false">
      <c r="B25" s="21" t="s">
        <v>386</v>
      </c>
      <c r="C25" s="20" t="s">
        <v>410</v>
      </c>
      <c r="D25" s="21" t="s">
        <v>411</v>
      </c>
    </row>
    <row r="26" customFormat="false" ht="15" hidden="false" customHeight="true" outlineLevel="0" collapsed="false">
      <c r="B26" s="30" t="s">
        <v>389</v>
      </c>
      <c r="C26" s="29" t="s">
        <v>412</v>
      </c>
      <c r="D26" s="29" t="s">
        <v>140</v>
      </c>
    </row>
    <row r="27" customFormat="false" ht="15" hidden="false" customHeight="true" outlineLevel="0" collapsed="false">
      <c r="B27" s="21" t="s">
        <v>391</v>
      </c>
      <c r="C27" s="20" t="s">
        <v>413</v>
      </c>
      <c r="D27" s="21" t="s">
        <v>393</v>
      </c>
    </row>
    <row r="28" customFormat="false" ht="15" hidden="false" customHeight="true" outlineLevel="0" collapsed="false">
      <c r="B28" s="30" t="s">
        <v>414</v>
      </c>
      <c r="C28" s="29" t="s">
        <v>415</v>
      </c>
      <c r="D28" s="30" t="s">
        <v>416</v>
      </c>
    </row>
    <row r="29" customFormat="false" ht="15" hidden="false" customHeight="true" outlineLevel="0" collapsed="false">
      <c r="B29" s="21" t="s">
        <v>394</v>
      </c>
      <c r="C29" s="20" t="s">
        <v>35</v>
      </c>
      <c r="D29" s="21" t="s">
        <v>417</v>
      </c>
    </row>
    <row r="30" customFormat="false" ht="15" hidden="false" customHeight="true" outlineLevel="0" collapsed="false">
      <c r="B30" s="30" t="s">
        <v>396</v>
      </c>
      <c r="C30" s="29" t="s">
        <v>418</v>
      </c>
      <c r="D30" s="29" t="s">
        <v>419</v>
      </c>
    </row>
    <row r="32" customFormat="false" ht="15" hidden="false" customHeight="true" outlineLevel="0" collapsed="false">
      <c r="B32" s="38" t="s">
        <v>399</v>
      </c>
    </row>
    <row r="33" customFormat="false" ht="15" hidden="false" customHeight="true" outlineLevel="0" collapsed="false">
      <c r="B33" s="39" t="s">
        <v>400</v>
      </c>
      <c r="C33" s="39" t="s">
        <v>308</v>
      </c>
      <c r="D33" s="39" t="s">
        <v>401</v>
      </c>
    </row>
    <row r="34" customFormat="false" ht="15" hidden="false" customHeight="true" outlineLevel="0" collapsed="false">
      <c r="B34" s="21" t="s">
        <v>396</v>
      </c>
      <c r="C34" s="40" t="n">
        <v>83</v>
      </c>
      <c r="D34" s="20" t="s">
        <v>419</v>
      </c>
    </row>
    <row r="35" customFormat="false" ht="15" hidden="false" customHeight="true" outlineLevel="0" collapsed="false">
      <c r="B35" s="21" t="s">
        <v>403</v>
      </c>
      <c r="C35" s="40" t="n">
        <v>18.05</v>
      </c>
      <c r="D35" s="41" t="s">
        <v>404</v>
      </c>
    </row>
    <row r="36" customFormat="false" ht="15" hidden="false" customHeight="true" outlineLevel="0" collapsed="false">
      <c r="B36" s="21" t="s">
        <v>323</v>
      </c>
      <c r="C36" s="40" t="n">
        <v>35</v>
      </c>
      <c r="D36" s="21" t="s">
        <v>325</v>
      </c>
    </row>
    <row r="37" customFormat="false" ht="15" hidden="false" customHeight="true" outlineLevel="0" collapsed="false">
      <c r="B37" s="21" t="s">
        <v>312</v>
      </c>
      <c r="C37" s="40" t="n">
        <v>5.5</v>
      </c>
      <c r="D37" s="21" t="s">
        <v>315</v>
      </c>
    </row>
    <row r="38" customFormat="false" ht="15" hidden="false" customHeight="true" outlineLevel="0" collapsed="false">
      <c r="B38" s="21" t="s">
        <v>351</v>
      </c>
      <c r="C38" s="40" t="n">
        <v>5.5</v>
      </c>
      <c r="D38" s="21" t="s">
        <v>352</v>
      </c>
    </row>
    <row r="39" customFormat="false" ht="15" hidden="false" customHeight="true" outlineLevel="0" collapsed="false">
      <c r="B39" s="21" t="s">
        <v>355</v>
      </c>
      <c r="C39" s="40" t="n">
        <v>4.5</v>
      </c>
      <c r="D39" s="21" t="s">
        <v>420</v>
      </c>
    </row>
    <row r="40" customFormat="false" ht="15" hidden="false" customHeight="true" outlineLevel="0" collapsed="false">
      <c r="B40" s="42" t="s">
        <v>405</v>
      </c>
      <c r="C40" s="43" t="n">
        <f aca="false">SUM(C34:C39)</f>
        <v>151.55</v>
      </c>
      <c r="D40" s="44" t="s">
        <v>421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2026-04-09T15:10:22Z</dcterms:created>
  <dc:creator>openpyxl</dc:creator>
  <dc:description/>
  <dc:language>en-US</dc:language>
  <cp:lastModifiedBy/>
  <dcterms:modified xsi:type="dcterms:W3CDTF">2026-04-09T15:12:38Z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