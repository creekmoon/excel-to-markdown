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海外仓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<sst xmlns="http://schemas.openxmlformats.org/spreadsheetml/2006/main" count="76" uniqueCount="62">
  <si>
    <r>
      <rPr>
        <sz val="11"/>
        <color rgb="FF2E7D32"/>
        <rFont val="Noto Sans CJK SC"/>
        <family val="2"/>
      </rPr>
      <t xml:space="preserve">提货地址</t>
    </r>
    <r>
      <rPr>
        <sz val="11"/>
        <color rgb="FF2E7D32"/>
        <rFont val="Cambria"/>
        <family val="0"/>
        <charset val="1"/>
      </rPr>
      <t xml:space="preserve">: XX 00000</t>
    </r>
  </si>
  <si>
    <r>
      <rPr>
        <sz val="11"/>
        <color rgb="FF2E7D32"/>
        <rFont val="Noto Sans CJK SC"/>
        <family val="2"/>
      </rPr>
      <t xml:space="preserve">提货地址</t>
    </r>
    <r>
      <rPr>
        <sz val="11"/>
        <color rgb="FF2E7D32"/>
        <rFont val="Cambria"/>
        <family val="0"/>
        <charset val="1"/>
      </rPr>
      <t xml:space="preserve">: XX 00001</t>
    </r>
  </si>
  <si>
    <r>
      <rPr>
        <sz val="11"/>
        <color rgb="FF2E7D32"/>
        <rFont val="Noto Sans CJK SC"/>
        <family val="2"/>
      </rPr>
      <t xml:space="preserve">提货地址</t>
    </r>
    <r>
      <rPr>
        <sz val="11"/>
        <color rgb="FF2E7D32"/>
        <rFont val="Cambria"/>
        <family val="0"/>
        <charset val="1"/>
      </rPr>
      <t xml:space="preserve">: XX 00002</t>
    </r>
  </si>
  <si>
    <r>
      <rPr>
        <sz val="11"/>
        <color rgb="FF2E7D32"/>
        <rFont val="Noto Sans CJK SC"/>
        <family val="2"/>
      </rPr>
      <t xml:space="preserve">提货地址</t>
    </r>
    <r>
      <rPr>
        <sz val="11"/>
        <color rgb="FF2E7D32"/>
        <rFont val="Cambria"/>
        <family val="0"/>
        <charset val="1"/>
      </rPr>
      <t xml:space="preserve">: XX 00003</t>
    </r>
  </si>
  <si>
    <t xml:space="preserve">标绿部门填写</t>
  </si>
  <si>
    <t xml:space="preserve">自动试算</t>
  </si>
  <si>
    <t xml:space="preserve">如果一款产品可以打一托就算一托</t>
  </si>
  <si>
    <t xml:space="preserve">仓库内操作费（仓库填写）</t>
  </si>
  <si>
    <r>
      <rPr>
        <sz val="11"/>
        <color rgb="FF2E7D32"/>
        <rFont val="Noto Sans CJK SC"/>
        <family val="2"/>
      </rPr>
      <t xml:space="preserve">送货地址</t>
    </r>
    <r>
      <rPr>
        <sz val="11"/>
        <color rgb="FF2E7D32"/>
        <rFont val="Cambria"/>
        <family val="0"/>
        <charset val="1"/>
      </rPr>
      <t xml:space="preserve">1
</t>
    </r>
    <r>
      <rPr>
        <sz val="11"/>
        <color rgb="FF2E7D32"/>
        <rFont val="Noto Sans CJK SC"/>
        <family val="2"/>
      </rPr>
      <t xml:space="preserve">城市：</t>
    </r>
    <r>
      <rPr>
        <sz val="11"/>
        <color rgb="FF2E7D32"/>
        <rFont val="Cambria"/>
        <family val="0"/>
        <charset val="1"/>
      </rPr>
      <t xml:space="preserve">CITY797   </t>
    </r>
    <r>
      <rPr>
        <sz val="11"/>
        <color rgb="FF2E7D32"/>
        <rFont val="Noto Sans CJK SC"/>
        <family val="2"/>
      </rPr>
      <t xml:space="preserve">州</t>
    </r>
    <r>
      <rPr>
        <sz val="11"/>
        <color rgb="FF2E7D32"/>
        <rFont val="Cambria"/>
        <family val="0"/>
        <charset val="1"/>
      </rPr>
      <t xml:space="preserve">/</t>
    </r>
    <r>
      <rPr>
        <sz val="11"/>
        <color rgb="FF2E7D32"/>
        <rFont val="Noto Sans CJK SC"/>
        <family val="2"/>
      </rPr>
      <t xml:space="preserve">省：</t>
    </r>
    <r>
      <rPr>
        <sz val="11"/>
        <color rgb="FF2E7D32"/>
        <rFont val="Cambria"/>
        <family val="0"/>
        <charset val="1"/>
      </rPr>
      <t xml:space="preserve">XX   </t>
    </r>
    <r>
      <rPr>
        <sz val="11"/>
        <color rgb="FF2E7D32"/>
        <rFont val="Noto Sans CJK SC"/>
        <family val="2"/>
      </rPr>
      <t xml:space="preserve">街道地址：</t>
    </r>
    <r>
      <rPr>
        <sz val="11"/>
        <color rgb="FF2E7D32"/>
        <rFont val="Cambria"/>
        <family val="0"/>
        <charset val="1"/>
      </rPr>
      <t xml:space="preserve">3728 TEST ST   </t>
    </r>
    <r>
      <rPr>
        <sz val="11"/>
        <color rgb="FF2E7D32"/>
        <rFont val="Noto Sans CJK SC"/>
        <family val="2"/>
      </rPr>
      <t xml:space="preserve">邮编：</t>
    </r>
    <r>
      <rPr>
        <sz val="11"/>
        <color rgb="FF2E7D32"/>
        <rFont val="Cambria"/>
        <family val="0"/>
        <charset val="1"/>
      </rPr>
      <t xml:space="preserve">69182-0000</t>
    </r>
  </si>
  <si>
    <r>
      <rPr>
        <sz val="11"/>
        <color rgb="FF2E7D32"/>
        <rFont val="Noto Sans CJK SC"/>
        <family val="2"/>
      </rPr>
      <t xml:space="preserve">送货地址</t>
    </r>
    <r>
      <rPr>
        <sz val="11"/>
        <color rgb="FF2E7D32"/>
        <rFont val="Cambria"/>
        <family val="0"/>
        <charset val="1"/>
      </rPr>
      <t xml:space="preserve">2
</t>
    </r>
    <r>
      <rPr>
        <sz val="11"/>
        <color rgb="FF2E7D32"/>
        <rFont val="Noto Sans CJK SC"/>
        <family val="2"/>
      </rPr>
      <t xml:space="preserve">城市：</t>
    </r>
    <r>
      <rPr>
        <sz val="11"/>
        <color rgb="FF2E7D32"/>
        <rFont val="Cambria"/>
        <family val="0"/>
        <charset val="1"/>
      </rPr>
      <t xml:space="preserve">TOWN663   </t>
    </r>
    <r>
      <rPr>
        <sz val="11"/>
        <color rgb="FF2E7D32"/>
        <rFont val="Noto Sans CJK SC"/>
        <family val="2"/>
      </rPr>
      <t xml:space="preserve">州</t>
    </r>
    <r>
      <rPr>
        <sz val="11"/>
        <color rgb="FF2E7D32"/>
        <rFont val="Cambria"/>
        <family val="0"/>
        <charset val="1"/>
      </rPr>
      <t xml:space="preserve">/</t>
    </r>
    <r>
      <rPr>
        <sz val="11"/>
        <color rgb="FF2E7D32"/>
        <rFont val="Noto Sans CJK SC"/>
        <family val="2"/>
      </rPr>
      <t xml:space="preserve">省：</t>
    </r>
    <r>
      <rPr>
        <sz val="11"/>
        <color rgb="FF2E7D32"/>
        <rFont val="Cambria"/>
        <family val="0"/>
        <charset val="1"/>
      </rPr>
      <t xml:space="preserve">XX   </t>
    </r>
    <r>
      <rPr>
        <sz val="11"/>
        <color rgb="FF2E7D32"/>
        <rFont val="Noto Sans CJK SC"/>
        <family val="2"/>
      </rPr>
      <t xml:space="preserve">街道地址：</t>
    </r>
    <r>
      <rPr>
        <sz val="11"/>
        <color rgb="FF2E7D32"/>
        <rFont val="Cambria"/>
        <family val="0"/>
        <charset val="1"/>
      </rPr>
      <t xml:space="preserve">6916 DEMO AVE   </t>
    </r>
    <r>
      <rPr>
        <sz val="11"/>
        <color rgb="FF2E7D32"/>
        <rFont val="Noto Sans CJK SC"/>
        <family val="2"/>
      </rPr>
      <t xml:space="preserve">邮编：</t>
    </r>
    <r>
      <rPr>
        <sz val="11"/>
        <color rgb="FF2E7D32"/>
        <rFont val="Cambria"/>
        <family val="0"/>
        <charset val="1"/>
      </rPr>
      <t xml:space="preserve">70897-0000</t>
    </r>
  </si>
  <si>
    <r>
      <rPr>
        <sz val="11"/>
        <color rgb="FF2E7D32"/>
        <rFont val="Noto Sans CJK SC"/>
        <family val="2"/>
      </rPr>
      <t xml:space="preserve">送货地址</t>
    </r>
    <r>
      <rPr>
        <sz val="11"/>
        <color rgb="FF2E7D32"/>
        <rFont val="Cambria"/>
        <family val="0"/>
        <charset val="1"/>
      </rPr>
      <t xml:space="preserve">3
</t>
    </r>
    <r>
      <rPr>
        <sz val="11"/>
        <color rgb="FF2E7D32"/>
        <rFont val="Noto Sans CJK SC"/>
        <family val="2"/>
      </rPr>
      <t xml:space="preserve">城市：</t>
    </r>
    <r>
      <rPr>
        <sz val="11"/>
        <color rgb="FF2E7D32"/>
        <rFont val="Cambria"/>
        <family val="0"/>
        <charset val="1"/>
      </rPr>
      <t xml:space="preserve">VILLE091   </t>
    </r>
    <r>
      <rPr>
        <sz val="11"/>
        <color rgb="FF2E7D32"/>
        <rFont val="Noto Sans CJK SC"/>
        <family val="2"/>
      </rPr>
      <t xml:space="preserve">州</t>
    </r>
    <r>
      <rPr>
        <sz val="11"/>
        <color rgb="FF2E7D32"/>
        <rFont val="Cambria"/>
        <family val="0"/>
        <charset val="1"/>
      </rPr>
      <t xml:space="preserve">/</t>
    </r>
    <r>
      <rPr>
        <sz val="11"/>
        <color rgb="FF2E7D32"/>
        <rFont val="Noto Sans CJK SC"/>
        <family val="2"/>
      </rPr>
      <t xml:space="preserve">省：</t>
    </r>
    <r>
      <rPr>
        <sz val="11"/>
        <color rgb="FF2E7D32"/>
        <rFont val="Cambria"/>
        <family val="0"/>
        <charset val="1"/>
      </rPr>
      <t xml:space="preserve">XX   </t>
    </r>
    <r>
      <rPr>
        <sz val="11"/>
        <color rgb="FF2E7D32"/>
        <rFont val="Noto Sans CJK SC"/>
        <family val="2"/>
      </rPr>
      <t xml:space="preserve">街道地址：</t>
    </r>
    <r>
      <rPr>
        <sz val="11"/>
        <color rgb="FF2E7D32"/>
        <rFont val="Cambria"/>
        <family val="0"/>
        <charset val="1"/>
      </rPr>
      <t xml:space="preserve">1544 SAMPLE RD   </t>
    </r>
    <r>
      <rPr>
        <sz val="11"/>
        <color rgb="FF2E7D32"/>
        <rFont val="Noto Sans CJK SC"/>
        <family val="2"/>
      </rPr>
      <t xml:space="preserve">邮编：</t>
    </r>
    <r>
      <rPr>
        <sz val="11"/>
        <color rgb="FF2E7D32"/>
        <rFont val="Cambria"/>
        <family val="0"/>
        <charset val="1"/>
      </rPr>
      <t xml:space="preserve">81008-0000</t>
    </r>
  </si>
  <si>
    <r>
      <rPr>
        <sz val="11"/>
        <color rgb="FF2E7D32"/>
        <rFont val="Noto Sans CJK SC"/>
        <family val="2"/>
      </rPr>
      <t xml:space="preserve">送货地址</t>
    </r>
    <r>
      <rPr>
        <sz val="11"/>
        <color rgb="FF2E7D32"/>
        <rFont val="Cambria"/>
        <family val="0"/>
        <charset val="1"/>
      </rPr>
      <t xml:space="preserve">1
</t>
    </r>
    <r>
      <rPr>
        <sz val="11"/>
        <color rgb="FF2E7D32"/>
        <rFont val="Noto Sans CJK SC"/>
        <family val="2"/>
      </rPr>
      <t xml:space="preserve">城市：</t>
    </r>
    <r>
      <rPr>
        <sz val="11"/>
        <color rgb="FF2E7D32"/>
        <rFont val="Cambria"/>
        <family val="0"/>
        <charset val="1"/>
      </rPr>
      <t xml:space="preserve">CITY149   </t>
    </r>
    <r>
      <rPr>
        <sz val="11"/>
        <color rgb="FF2E7D32"/>
        <rFont val="Noto Sans CJK SC"/>
        <family val="2"/>
      </rPr>
      <t xml:space="preserve">州</t>
    </r>
    <r>
      <rPr>
        <sz val="11"/>
        <color rgb="FF2E7D32"/>
        <rFont val="Cambria"/>
        <family val="0"/>
        <charset val="1"/>
      </rPr>
      <t xml:space="preserve">/</t>
    </r>
    <r>
      <rPr>
        <sz val="11"/>
        <color rgb="FF2E7D32"/>
        <rFont val="Noto Sans CJK SC"/>
        <family val="2"/>
      </rPr>
      <t xml:space="preserve">省：</t>
    </r>
    <r>
      <rPr>
        <sz val="11"/>
        <color rgb="FF2E7D32"/>
        <rFont val="Cambria"/>
        <family val="0"/>
        <charset val="1"/>
      </rPr>
      <t xml:space="preserve">XX   </t>
    </r>
    <r>
      <rPr>
        <sz val="11"/>
        <color rgb="FF2E7D32"/>
        <rFont val="Noto Sans CJK SC"/>
        <family val="2"/>
      </rPr>
      <t xml:space="preserve">街道地址：</t>
    </r>
    <r>
      <rPr>
        <sz val="11"/>
        <color rgb="FF2E7D32"/>
        <rFont val="Cambria"/>
        <family val="0"/>
        <charset val="1"/>
      </rPr>
      <t xml:space="preserve">2621 TEST ST   </t>
    </r>
    <r>
      <rPr>
        <sz val="11"/>
        <color rgb="FF2E7D32"/>
        <rFont val="Noto Sans CJK SC"/>
        <family val="2"/>
      </rPr>
      <t xml:space="preserve">邮编：</t>
    </r>
    <r>
      <rPr>
        <sz val="11"/>
        <color rgb="FF2E7D32"/>
        <rFont val="Cambria"/>
        <family val="0"/>
        <charset val="1"/>
      </rPr>
      <t xml:space="preserve">60515-0000</t>
    </r>
  </si>
  <si>
    <r>
      <rPr>
        <sz val="11"/>
        <color rgb="FF2E7D32"/>
        <rFont val="Noto Sans CJK SC"/>
        <family val="2"/>
      </rPr>
      <t xml:space="preserve">送货地址</t>
    </r>
    <r>
      <rPr>
        <sz val="11"/>
        <color rgb="FF2E7D32"/>
        <rFont val="Cambria"/>
        <family val="0"/>
        <charset val="1"/>
      </rPr>
      <t xml:space="preserve">2
</t>
    </r>
    <r>
      <rPr>
        <sz val="11"/>
        <color rgb="FF2E7D32"/>
        <rFont val="Noto Sans CJK SC"/>
        <family val="2"/>
      </rPr>
      <t xml:space="preserve">城市：</t>
    </r>
    <r>
      <rPr>
        <sz val="11"/>
        <color rgb="FF2E7D32"/>
        <rFont val="Cambria"/>
        <family val="0"/>
        <charset val="1"/>
      </rPr>
      <t xml:space="preserve">TOWN519   </t>
    </r>
    <r>
      <rPr>
        <sz val="11"/>
        <color rgb="FF2E7D32"/>
        <rFont val="Noto Sans CJK SC"/>
        <family val="2"/>
      </rPr>
      <t xml:space="preserve">州</t>
    </r>
    <r>
      <rPr>
        <sz val="11"/>
        <color rgb="FF2E7D32"/>
        <rFont val="Cambria"/>
        <family val="0"/>
        <charset val="1"/>
      </rPr>
      <t xml:space="preserve">/</t>
    </r>
    <r>
      <rPr>
        <sz val="11"/>
        <color rgb="FF2E7D32"/>
        <rFont val="Noto Sans CJK SC"/>
        <family val="2"/>
      </rPr>
      <t xml:space="preserve">省：</t>
    </r>
    <r>
      <rPr>
        <sz val="11"/>
        <color rgb="FF2E7D32"/>
        <rFont val="Cambria"/>
        <family val="0"/>
        <charset val="1"/>
      </rPr>
      <t xml:space="preserve">XX   </t>
    </r>
    <r>
      <rPr>
        <sz val="11"/>
        <color rgb="FF2E7D32"/>
        <rFont val="Noto Sans CJK SC"/>
        <family val="2"/>
      </rPr>
      <t xml:space="preserve">街道地址：</t>
    </r>
    <r>
      <rPr>
        <sz val="11"/>
        <color rgb="FF2E7D32"/>
        <rFont val="Cambria"/>
        <family val="0"/>
        <charset val="1"/>
      </rPr>
      <t xml:space="preserve">8784 DEMO AVE   </t>
    </r>
    <r>
      <rPr>
        <sz val="11"/>
        <color rgb="FF2E7D32"/>
        <rFont val="Noto Sans CJK SC"/>
        <family val="2"/>
      </rPr>
      <t xml:space="preserve">邮编：</t>
    </r>
    <r>
      <rPr>
        <sz val="11"/>
        <color rgb="FF2E7D32"/>
        <rFont val="Cambria"/>
        <family val="0"/>
        <charset val="1"/>
      </rPr>
      <t xml:space="preserve">16789-0000</t>
    </r>
  </si>
  <si>
    <r>
      <rPr>
        <sz val="11"/>
        <color rgb="FF2E7D32"/>
        <rFont val="Noto Sans CJK SC"/>
        <family val="2"/>
      </rPr>
      <t xml:space="preserve">送货地址</t>
    </r>
    <r>
      <rPr>
        <sz val="11"/>
        <color rgb="FF2E7D32"/>
        <rFont val="Cambria"/>
        <family val="0"/>
        <charset val="1"/>
      </rPr>
      <t xml:space="preserve">3
</t>
    </r>
    <r>
      <rPr>
        <sz val="11"/>
        <color rgb="FF2E7D32"/>
        <rFont val="Noto Sans CJK SC"/>
        <family val="2"/>
      </rPr>
      <t xml:space="preserve">城市：</t>
    </r>
    <r>
      <rPr>
        <sz val="11"/>
        <color rgb="FF2E7D32"/>
        <rFont val="Cambria"/>
        <family val="0"/>
        <charset val="1"/>
      </rPr>
      <t xml:space="preserve">VILLE601   </t>
    </r>
    <r>
      <rPr>
        <sz val="11"/>
        <color rgb="FF2E7D32"/>
        <rFont val="Noto Sans CJK SC"/>
        <family val="2"/>
      </rPr>
      <t xml:space="preserve">州</t>
    </r>
    <r>
      <rPr>
        <sz val="11"/>
        <color rgb="FF2E7D32"/>
        <rFont val="Cambria"/>
        <family val="0"/>
        <charset val="1"/>
      </rPr>
      <t xml:space="preserve">/</t>
    </r>
    <r>
      <rPr>
        <sz val="11"/>
        <color rgb="FF2E7D32"/>
        <rFont val="Noto Sans CJK SC"/>
        <family val="2"/>
      </rPr>
      <t xml:space="preserve">省：</t>
    </r>
    <r>
      <rPr>
        <sz val="11"/>
        <color rgb="FF2E7D32"/>
        <rFont val="Cambria"/>
        <family val="0"/>
        <charset val="1"/>
      </rPr>
      <t xml:space="preserve">XX   </t>
    </r>
    <r>
      <rPr>
        <sz val="11"/>
        <color rgb="FF2E7D32"/>
        <rFont val="Noto Sans CJK SC"/>
        <family val="2"/>
      </rPr>
      <t xml:space="preserve">街道地址：</t>
    </r>
    <r>
      <rPr>
        <sz val="11"/>
        <color rgb="FF2E7D32"/>
        <rFont val="Cambria"/>
        <family val="0"/>
        <charset val="1"/>
      </rPr>
      <t xml:space="preserve">8605 SAMPLE RD   </t>
    </r>
    <r>
      <rPr>
        <sz val="11"/>
        <color rgb="FF2E7D32"/>
        <rFont val="Noto Sans CJK SC"/>
        <family val="2"/>
      </rPr>
      <t xml:space="preserve">邮编：</t>
    </r>
    <r>
      <rPr>
        <sz val="11"/>
        <color rgb="FF2E7D32"/>
        <rFont val="Cambria"/>
        <family val="0"/>
        <charset val="1"/>
      </rPr>
      <t xml:space="preserve">47650-0000</t>
    </r>
  </si>
  <si>
    <r>
      <rPr>
        <sz val="11"/>
        <color rgb="FF2E7D32"/>
        <rFont val="Noto Sans CJK SC"/>
        <family val="2"/>
      </rPr>
      <t xml:space="preserve">送货地址</t>
    </r>
    <r>
      <rPr>
        <sz val="11"/>
        <color rgb="FF2E7D32"/>
        <rFont val="Cambria"/>
        <family val="0"/>
        <charset val="1"/>
      </rPr>
      <t xml:space="preserve">1
</t>
    </r>
    <r>
      <rPr>
        <sz val="11"/>
        <color rgb="FF2E7D32"/>
        <rFont val="Noto Sans CJK SC"/>
        <family val="2"/>
      </rPr>
      <t xml:space="preserve">城市：</t>
    </r>
    <r>
      <rPr>
        <sz val="11"/>
        <color rgb="FF2E7D32"/>
        <rFont val="Cambria"/>
        <family val="0"/>
        <charset val="1"/>
      </rPr>
      <t xml:space="preserve">CITY217   </t>
    </r>
    <r>
      <rPr>
        <sz val="11"/>
        <color rgb="FF2E7D32"/>
        <rFont val="Noto Sans CJK SC"/>
        <family val="2"/>
      </rPr>
      <t xml:space="preserve">州</t>
    </r>
    <r>
      <rPr>
        <sz val="11"/>
        <color rgb="FF2E7D32"/>
        <rFont val="Cambria"/>
        <family val="0"/>
        <charset val="1"/>
      </rPr>
      <t xml:space="preserve">/</t>
    </r>
    <r>
      <rPr>
        <sz val="11"/>
        <color rgb="FF2E7D32"/>
        <rFont val="Noto Sans CJK SC"/>
        <family val="2"/>
      </rPr>
      <t xml:space="preserve">省：</t>
    </r>
    <r>
      <rPr>
        <sz val="11"/>
        <color rgb="FF2E7D32"/>
        <rFont val="Cambria"/>
        <family val="0"/>
        <charset val="1"/>
      </rPr>
      <t xml:space="preserve">XX   </t>
    </r>
    <r>
      <rPr>
        <sz val="11"/>
        <color rgb="FF2E7D32"/>
        <rFont val="Noto Sans CJK SC"/>
        <family val="2"/>
      </rPr>
      <t xml:space="preserve">街道地址：</t>
    </r>
    <r>
      <rPr>
        <sz val="11"/>
        <color rgb="FF2E7D32"/>
        <rFont val="Cambria"/>
        <family val="0"/>
        <charset val="1"/>
      </rPr>
      <t xml:space="preserve">3602 TEST ST   </t>
    </r>
    <r>
      <rPr>
        <sz val="11"/>
        <color rgb="FF2E7D32"/>
        <rFont val="Noto Sans CJK SC"/>
        <family val="2"/>
      </rPr>
      <t xml:space="preserve">邮编：</t>
    </r>
    <r>
      <rPr>
        <sz val="11"/>
        <color rgb="FF2E7D32"/>
        <rFont val="Cambria"/>
        <family val="0"/>
        <charset val="1"/>
      </rPr>
      <t xml:space="preserve">75503-0000</t>
    </r>
  </si>
  <si>
    <r>
      <rPr>
        <sz val="11"/>
        <color rgb="FF2E7D32"/>
        <rFont val="Noto Sans CJK SC"/>
        <family val="2"/>
      </rPr>
      <t xml:space="preserve">送货地址</t>
    </r>
    <r>
      <rPr>
        <sz val="11"/>
        <color rgb="FF2E7D32"/>
        <rFont val="Cambria"/>
        <family val="0"/>
        <charset val="1"/>
      </rPr>
      <t xml:space="preserve">2
</t>
    </r>
    <r>
      <rPr>
        <sz val="11"/>
        <color rgb="FF2E7D32"/>
        <rFont val="Noto Sans CJK SC"/>
        <family val="2"/>
      </rPr>
      <t xml:space="preserve">城市：</t>
    </r>
    <r>
      <rPr>
        <sz val="11"/>
        <color rgb="FF2E7D32"/>
        <rFont val="Cambria"/>
        <family val="0"/>
        <charset val="1"/>
      </rPr>
      <t xml:space="preserve">TOWN834   </t>
    </r>
    <r>
      <rPr>
        <sz val="11"/>
        <color rgb="FF2E7D32"/>
        <rFont val="Noto Sans CJK SC"/>
        <family val="2"/>
      </rPr>
      <t xml:space="preserve">州</t>
    </r>
    <r>
      <rPr>
        <sz val="11"/>
        <color rgb="FF2E7D32"/>
        <rFont val="Cambria"/>
        <family val="0"/>
        <charset val="1"/>
      </rPr>
      <t xml:space="preserve">/</t>
    </r>
    <r>
      <rPr>
        <sz val="11"/>
        <color rgb="FF2E7D32"/>
        <rFont val="Noto Sans CJK SC"/>
        <family val="2"/>
      </rPr>
      <t xml:space="preserve">省：</t>
    </r>
    <r>
      <rPr>
        <sz val="11"/>
        <color rgb="FF2E7D32"/>
        <rFont val="Cambria"/>
        <family val="0"/>
        <charset val="1"/>
      </rPr>
      <t xml:space="preserve">XX   </t>
    </r>
    <r>
      <rPr>
        <sz val="11"/>
        <color rgb="FF2E7D32"/>
        <rFont val="Noto Sans CJK SC"/>
        <family val="2"/>
      </rPr>
      <t xml:space="preserve">街道地址：</t>
    </r>
    <r>
      <rPr>
        <sz val="11"/>
        <color rgb="FF2E7D32"/>
        <rFont val="Cambria"/>
        <family val="0"/>
        <charset val="1"/>
      </rPr>
      <t xml:space="preserve">1204 DEMO AVE   </t>
    </r>
    <r>
      <rPr>
        <sz val="11"/>
        <color rgb="FF2E7D32"/>
        <rFont val="Noto Sans CJK SC"/>
        <family val="2"/>
      </rPr>
      <t xml:space="preserve">邮编：</t>
    </r>
    <r>
      <rPr>
        <sz val="11"/>
        <color rgb="FF2E7D32"/>
        <rFont val="Cambria"/>
        <family val="0"/>
        <charset val="1"/>
      </rPr>
      <t xml:space="preserve">61423-0000</t>
    </r>
  </si>
  <si>
    <r>
      <rPr>
        <sz val="11"/>
        <color rgb="FF2E7D32"/>
        <rFont val="Noto Sans CJK SC"/>
        <family val="2"/>
      </rPr>
      <t xml:space="preserve">送货地址</t>
    </r>
    <r>
      <rPr>
        <sz val="11"/>
        <color rgb="FF2E7D32"/>
        <rFont val="Cambria"/>
        <family val="0"/>
        <charset val="1"/>
      </rPr>
      <t xml:space="preserve">3
</t>
    </r>
    <r>
      <rPr>
        <sz val="11"/>
        <color rgb="FF2E7D32"/>
        <rFont val="Noto Sans CJK SC"/>
        <family val="2"/>
      </rPr>
      <t xml:space="preserve">城市：</t>
    </r>
    <r>
      <rPr>
        <sz val="11"/>
        <color rgb="FF2E7D32"/>
        <rFont val="Cambria"/>
        <family val="0"/>
        <charset val="1"/>
      </rPr>
      <t xml:space="preserve">VILLE031   </t>
    </r>
    <r>
      <rPr>
        <sz val="11"/>
        <color rgb="FF2E7D32"/>
        <rFont val="Noto Sans CJK SC"/>
        <family val="2"/>
      </rPr>
      <t xml:space="preserve">州</t>
    </r>
    <r>
      <rPr>
        <sz val="11"/>
        <color rgb="FF2E7D32"/>
        <rFont val="Cambria"/>
        <family val="0"/>
        <charset val="1"/>
      </rPr>
      <t xml:space="preserve">/</t>
    </r>
    <r>
      <rPr>
        <sz val="11"/>
        <color rgb="FF2E7D32"/>
        <rFont val="Noto Sans CJK SC"/>
        <family val="2"/>
      </rPr>
      <t xml:space="preserve">省：</t>
    </r>
    <r>
      <rPr>
        <sz val="11"/>
        <color rgb="FF2E7D32"/>
        <rFont val="Cambria"/>
        <family val="0"/>
        <charset val="1"/>
      </rPr>
      <t xml:space="preserve">XX   </t>
    </r>
    <r>
      <rPr>
        <sz val="11"/>
        <color rgb="FF2E7D32"/>
        <rFont val="Noto Sans CJK SC"/>
        <family val="2"/>
      </rPr>
      <t xml:space="preserve">街道地址：</t>
    </r>
    <r>
      <rPr>
        <sz val="11"/>
        <color rgb="FF2E7D32"/>
        <rFont val="Cambria"/>
        <family val="0"/>
        <charset val="1"/>
      </rPr>
      <t xml:space="preserve">6461 SAMPLE RD   </t>
    </r>
    <r>
      <rPr>
        <sz val="11"/>
        <color rgb="FF2E7D32"/>
        <rFont val="Noto Sans CJK SC"/>
        <family val="2"/>
      </rPr>
      <t xml:space="preserve">邮编：</t>
    </r>
    <r>
      <rPr>
        <sz val="11"/>
        <color rgb="FF2E7D32"/>
        <rFont val="Cambria"/>
        <family val="0"/>
        <charset val="1"/>
      </rPr>
      <t xml:space="preserve">68698-0000</t>
    </r>
  </si>
  <si>
    <r>
      <rPr>
        <sz val="11"/>
        <color rgb="FF2E7D32"/>
        <rFont val="Noto Sans CJK SC"/>
        <family val="2"/>
      </rPr>
      <t xml:space="preserve">送货地址</t>
    </r>
    <r>
      <rPr>
        <sz val="11"/>
        <color rgb="FF2E7D32"/>
        <rFont val="Cambria"/>
        <family val="0"/>
        <charset val="1"/>
      </rPr>
      <t xml:space="preserve">1
</t>
    </r>
    <r>
      <rPr>
        <sz val="11"/>
        <color rgb="FF2E7D32"/>
        <rFont val="Noto Sans CJK SC"/>
        <family val="2"/>
      </rPr>
      <t xml:space="preserve">城市：</t>
    </r>
    <r>
      <rPr>
        <sz val="11"/>
        <color rgb="FF2E7D32"/>
        <rFont val="Cambria"/>
        <family val="0"/>
        <charset val="1"/>
      </rPr>
      <t xml:space="preserve">CITY549   </t>
    </r>
    <r>
      <rPr>
        <sz val="11"/>
        <color rgb="FF2E7D32"/>
        <rFont val="Noto Sans CJK SC"/>
        <family val="2"/>
      </rPr>
      <t xml:space="preserve">州</t>
    </r>
    <r>
      <rPr>
        <sz val="11"/>
        <color rgb="FF2E7D32"/>
        <rFont val="Cambria"/>
        <family val="0"/>
        <charset val="1"/>
      </rPr>
      <t xml:space="preserve">/</t>
    </r>
    <r>
      <rPr>
        <sz val="11"/>
        <color rgb="FF2E7D32"/>
        <rFont val="Noto Sans CJK SC"/>
        <family val="2"/>
      </rPr>
      <t xml:space="preserve">省：</t>
    </r>
    <r>
      <rPr>
        <sz val="11"/>
        <color rgb="FF2E7D32"/>
        <rFont val="Cambria"/>
        <family val="0"/>
        <charset val="1"/>
      </rPr>
      <t xml:space="preserve">XX   </t>
    </r>
    <r>
      <rPr>
        <sz val="11"/>
        <color rgb="FF2E7D32"/>
        <rFont val="Noto Sans CJK SC"/>
        <family val="2"/>
      </rPr>
      <t xml:space="preserve">街道地址：</t>
    </r>
    <r>
      <rPr>
        <sz val="11"/>
        <color rgb="FF2E7D32"/>
        <rFont val="Cambria"/>
        <family val="0"/>
        <charset val="1"/>
      </rPr>
      <t xml:space="preserve">6407 TEST ST   </t>
    </r>
    <r>
      <rPr>
        <sz val="11"/>
        <color rgb="FF2E7D32"/>
        <rFont val="Noto Sans CJK SC"/>
        <family val="2"/>
      </rPr>
      <t xml:space="preserve">邮编：</t>
    </r>
    <r>
      <rPr>
        <sz val="11"/>
        <color rgb="FF2E7D32"/>
        <rFont val="Cambria"/>
        <family val="0"/>
        <charset val="1"/>
      </rPr>
      <t xml:space="preserve">85300-0000</t>
    </r>
  </si>
  <si>
    <r>
      <rPr>
        <sz val="11"/>
        <color rgb="FF2E7D32"/>
        <rFont val="Noto Sans CJK SC"/>
        <family val="2"/>
      </rPr>
      <t xml:space="preserve">送货地址</t>
    </r>
    <r>
      <rPr>
        <sz val="11"/>
        <color rgb="FF2E7D32"/>
        <rFont val="Cambria"/>
        <family val="0"/>
        <charset val="1"/>
      </rPr>
      <t xml:space="preserve">2
</t>
    </r>
    <r>
      <rPr>
        <sz val="11"/>
        <color rgb="FF2E7D32"/>
        <rFont val="Noto Sans CJK SC"/>
        <family val="2"/>
      </rPr>
      <t xml:space="preserve">城市：</t>
    </r>
    <r>
      <rPr>
        <sz val="11"/>
        <color rgb="FF2E7D32"/>
        <rFont val="Cambria"/>
        <family val="0"/>
        <charset val="1"/>
      </rPr>
      <t xml:space="preserve">TOWN433   </t>
    </r>
    <r>
      <rPr>
        <sz val="11"/>
        <color rgb="FF2E7D32"/>
        <rFont val="Noto Sans CJK SC"/>
        <family val="2"/>
      </rPr>
      <t xml:space="preserve">州</t>
    </r>
    <r>
      <rPr>
        <sz val="11"/>
        <color rgb="FF2E7D32"/>
        <rFont val="Cambria"/>
        <family val="0"/>
        <charset val="1"/>
      </rPr>
      <t xml:space="preserve">/</t>
    </r>
    <r>
      <rPr>
        <sz val="11"/>
        <color rgb="FF2E7D32"/>
        <rFont val="Noto Sans CJK SC"/>
        <family val="2"/>
      </rPr>
      <t xml:space="preserve">省：</t>
    </r>
    <r>
      <rPr>
        <sz val="11"/>
        <color rgb="FF2E7D32"/>
        <rFont val="Cambria"/>
        <family val="0"/>
        <charset val="1"/>
      </rPr>
      <t xml:space="preserve">XX   </t>
    </r>
    <r>
      <rPr>
        <sz val="11"/>
        <color rgb="FF2E7D32"/>
        <rFont val="Noto Sans CJK SC"/>
        <family val="2"/>
      </rPr>
      <t xml:space="preserve">街道地址：</t>
    </r>
    <r>
      <rPr>
        <sz val="11"/>
        <color rgb="FF2E7D32"/>
        <rFont val="Cambria"/>
        <family val="0"/>
        <charset val="1"/>
      </rPr>
      <t xml:space="preserve">7220 DEMO AVE   </t>
    </r>
    <r>
      <rPr>
        <sz val="11"/>
        <color rgb="FF2E7D32"/>
        <rFont val="Noto Sans CJK SC"/>
        <family val="2"/>
      </rPr>
      <t xml:space="preserve">邮编：</t>
    </r>
    <r>
      <rPr>
        <sz val="11"/>
        <color rgb="FF2E7D32"/>
        <rFont val="Cambria"/>
        <family val="0"/>
        <charset val="1"/>
      </rPr>
      <t xml:space="preserve">94010-0000</t>
    </r>
  </si>
  <si>
    <r>
      <rPr>
        <sz val="11"/>
        <color rgb="FF2E7D32"/>
        <rFont val="Noto Sans CJK SC"/>
        <family val="2"/>
      </rPr>
      <t xml:space="preserve">送货地址</t>
    </r>
    <r>
      <rPr>
        <sz val="11"/>
        <color rgb="FF2E7D32"/>
        <rFont val="Cambria"/>
        <family val="0"/>
        <charset val="1"/>
      </rPr>
      <t xml:space="preserve">3
</t>
    </r>
    <r>
      <rPr>
        <sz val="11"/>
        <color rgb="FF2E7D32"/>
        <rFont val="Noto Sans CJK SC"/>
        <family val="2"/>
      </rPr>
      <t xml:space="preserve">城市：</t>
    </r>
    <r>
      <rPr>
        <sz val="11"/>
        <color rgb="FF2E7D32"/>
        <rFont val="Cambria"/>
        <family val="0"/>
        <charset val="1"/>
      </rPr>
      <t xml:space="preserve">VILLE342   </t>
    </r>
    <r>
      <rPr>
        <sz val="11"/>
        <color rgb="FF2E7D32"/>
        <rFont val="Noto Sans CJK SC"/>
        <family val="2"/>
      </rPr>
      <t xml:space="preserve">州</t>
    </r>
    <r>
      <rPr>
        <sz val="11"/>
        <color rgb="FF2E7D32"/>
        <rFont val="Cambria"/>
        <family val="0"/>
        <charset val="1"/>
      </rPr>
      <t xml:space="preserve">/</t>
    </r>
    <r>
      <rPr>
        <sz val="11"/>
        <color rgb="FF2E7D32"/>
        <rFont val="Noto Sans CJK SC"/>
        <family val="2"/>
      </rPr>
      <t xml:space="preserve">省：</t>
    </r>
    <r>
      <rPr>
        <sz val="11"/>
        <color rgb="FF2E7D32"/>
        <rFont val="Cambria"/>
        <family val="0"/>
        <charset val="1"/>
      </rPr>
      <t xml:space="preserve">XX   </t>
    </r>
    <r>
      <rPr>
        <sz val="11"/>
        <color rgb="FF2E7D32"/>
        <rFont val="Noto Sans CJK SC"/>
        <family val="2"/>
      </rPr>
      <t xml:space="preserve">街道地址：</t>
    </r>
    <r>
      <rPr>
        <sz val="11"/>
        <color rgb="FF2E7D32"/>
        <rFont val="Cambria"/>
        <family val="0"/>
        <charset val="1"/>
      </rPr>
      <t xml:space="preserve">9979 SAMPLE RD   </t>
    </r>
    <r>
      <rPr>
        <sz val="11"/>
        <color rgb="FF2E7D32"/>
        <rFont val="Noto Sans CJK SC"/>
        <family val="2"/>
      </rPr>
      <t xml:space="preserve">邮编：</t>
    </r>
    <r>
      <rPr>
        <sz val="11"/>
        <color rgb="FF2E7D32"/>
        <rFont val="Cambria"/>
        <family val="0"/>
        <charset val="1"/>
      </rPr>
      <t xml:space="preserve">34592-0000</t>
    </r>
  </si>
  <si>
    <t xml:space="preserve">SKU</t>
  </si>
  <si>
    <r>
      <rPr>
        <sz val="11"/>
        <color rgb="FF000000"/>
        <rFont val="Noto Sans CJK SC"/>
        <family val="2"/>
      </rPr>
      <t xml:space="preserve">长</t>
    </r>
    <r>
      <rPr>
        <sz val="11"/>
        <color rgb="FF000000"/>
        <rFont val="宋体"/>
        <family val="0"/>
        <charset val="134"/>
      </rPr>
      <t xml:space="preserve">(CM)</t>
    </r>
  </si>
  <si>
    <r>
      <rPr>
        <sz val="11"/>
        <color rgb="FF000000"/>
        <rFont val="Noto Sans CJK SC"/>
        <family val="2"/>
      </rPr>
      <t xml:space="preserve">宽</t>
    </r>
    <r>
      <rPr>
        <sz val="11"/>
        <color rgb="FF000000"/>
        <rFont val="宋体"/>
        <family val="0"/>
        <charset val="134"/>
      </rPr>
      <t xml:space="preserve">(CM)</t>
    </r>
  </si>
  <si>
    <r>
      <rPr>
        <sz val="11"/>
        <color rgb="FF000000"/>
        <rFont val="Noto Sans CJK SC"/>
        <family val="2"/>
      </rPr>
      <t xml:space="preserve">高</t>
    </r>
    <r>
      <rPr>
        <sz val="11"/>
        <color rgb="FF000000"/>
        <rFont val="宋体"/>
        <family val="0"/>
        <charset val="134"/>
      </rPr>
      <t xml:space="preserve">(CM)</t>
    </r>
  </si>
  <si>
    <r>
      <rPr>
        <sz val="11"/>
        <color rgb="FF000000"/>
        <rFont val="Noto Sans CJK SC"/>
        <family val="2"/>
      </rPr>
      <t xml:space="preserve">毛重</t>
    </r>
    <r>
      <rPr>
        <sz val="11"/>
        <color rgb="FF000000"/>
        <rFont val="宋体"/>
        <family val="0"/>
        <charset val="134"/>
      </rPr>
      <t xml:space="preserve">(kg)</t>
    </r>
  </si>
  <si>
    <r>
      <rPr>
        <sz val="11"/>
        <color rgb="FF000000"/>
        <rFont val="Noto Sans CJK SC"/>
        <family val="2"/>
      </rPr>
      <t xml:space="preserve">长
</t>
    </r>
    <r>
      <rPr>
        <sz val="11"/>
        <color rgb="FF000000"/>
        <rFont val="宋体"/>
        <family val="0"/>
        <charset val="134"/>
      </rPr>
      <t xml:space="preserve">(IN/</t>
    </r>
    <r>
      <rPr>
        <sz val="11"/>
        <color rgb="FF000000"/>
        <rFont val="Noto Sans CJK SC"/>
        <family val="2"/>
      </rPr>
      <t xml:space="preserve">英寸</t>
    </r>
    <r>
      <rPr>
        <sz val="11"/>
        <color rgb="FF000000"/>
        <rFont val="宋体"/>
        <family val="0"/>
        <charset val="134"/>
      </rPr>
      <t xml:space="preserve">)</t>
    </r>
  </si>
  <si>
    <r>
      <rPr>
        <sz val="11"/>
        <color rgb="FF000000"/>
        <rFont val="Noto Sans CJK SC"/>
        <family val="2"/>
      </rPr>
      <t xml:space="preserve">宽
</t>
    </r>
    <r>
      <rPr>
        <sz val="11"/>
        <color rgb="FF000000"/>
        <rFont val="宋体"/>
        <family val="0"/>
        <charset val="134"/>
      </rPr>
      <t xml:space="preserve">(IN/</t>
    </r>
    <r>
      <rPr>
        <sz val="11"/>
        <color rgb="FF000000"/>
        <rFont val="Noto Sans CJK SC"/>
        <family val="2"/>
      </rPr>
      <t xml:space="preserve">英寸</t>
    </r>
    <r>
      <rPr>
        <sz val="11"/>
        <color rgb="FF000000"/>
        <rFont val="宋体"/>
        <family val="0"/>
        <charset val="134"/>
      </rPr>
      <t xml:space="preserve">)</t>
    </r>
  </si>
  <si>
    <r>
      <rPr>
        <sz val="11"/>
        <color rgb="FF000000"/>
        <rFont val="Noto Sans CJK SC"/>
        <family val="2"/>
      </rPr>
      <t xml:space="preserve">高
</t>
    </r>
    <r>
      <rPr>
        <sz val="11"/>
        <color rgb="FF000000"/>
        <rFont val="宋体"/>
        <family val="0"/>
        <charset val="134"/>
      </rPr>
      <t xml:space="preserve">(IN/</t>
    </r>
    <r>
      <rPr>
        <sz val="11"/>
        <color rgb="FF000000"/>
        <rFont val="Noto Sans CJK SC"/>
        <family val="2"/>
      </rPr>
      <t xml:space="preserve">英寸</t>
    </r>
    <r>
      <rPr>
        <sz val="11"/>
        <color rgb="FF000000"/>
        <rFont val="宋体"/>
        <family val="0"/>
        <charset val="134"/>
      </rPr>
      <t xml:space="preserve">)</t>
    </r>
  </si>
  <si>
    <r>
      <rPr>
        <sz val="11"/>
        <color rgb="FF000000"/>
        <rFont val="Noto Sans CJK SC"/>
        <family val="2"/>
      </rPr>
      <t xml:space="preserve">产品重量
</t>
    </r>
    <r>
      <rPr>
        <sz val="11"/>
        <color rgb="FF000000"/>
        <rFont val="宋体"/>
        <family val="0"/>
        <charset val="134"/>
      </rPr>
      <t xml:space="preserve">(LB/</t>
    </r>
    <r>
      <rPr>
        <sz val="11"/>
        <color rgb="FF000000"/>
        <rFont val="Noto Sans CJK SC"/>
        <family val="2"/>
      </rPr>
      <t xml:space="preserve">磅</t>
    </r>
    <r>
      <rPr>
        <sz val="11"/>
        <color rgb="FF000000"/>
        <rFont val="宋体"/>
        <family val="0"/>
        <charset val="134"/>
      </rPr>
      <t xml:space="preserve">)</t>
    </r>
  </si>
  <si>
    <r>
      <rPr>
        <sz val="11"/>
        <color rgb="FF000000"/>
        <rFont val="Noto Sans CJK SC"/>
        <family val="2"/>
      </rPr>
      <t xml:space="preserve">总重量（</t>
    </r>
    <r>
      <rPr>
        <sz val="11"/>
        <color rgb="FF000000"/>
        <rFont val="宋体"/>
        <family val="0"/>
        <charset val="134"/>
      </rPr>
      <t xml:space="preserve">LB</t>
    </r>
    <r>
      <rPr>
        <sz val="11"/>
        <color rgb="FF000000"/>
        <rFont val="Noto Sans CJK SC"/>
        <family val="2"/>
      </rPr>
      <t xml:space="preserve">）</t>
    </r>
  </si>
  <si>
    <t xml:space="preserve">一托几箱</t>
  </si>
  <si>
    <t xml:space="preserve">打托费</t>
  </si>
  <si>
    <t xml:space="preserve">操作费</t>
  </si>
  <si>
    <r>
      <rPr>
        <sz val="11"/>
        <color rgb="FF000000"/>
        <rFont val="Calibri"/>
        <family val="0"/>
        <charset val="134"/>
      </rPr>
      <t xml:space="preserve">XX</t>
    </r>
    <r>
      <rPr>
        <sz val="11"/>
        <color rgb="FF000000"/>
        <rFont val="Noto Sans CJK SC"/>
        <family val="2"/>
      </rPr>
      <t xml:space="preserve">邮编</t>
    </r>
    <r>
      <rPr>
        <sz val="11"/>
        <color rgb="FF000000"/>
        <rFont val="Calibri"/>
        <family val="0"/>
        <charset val="134"/>
      </rPr>
      <t xml:space="preserve">50000 F</t>
    </r>
  </si>
  <si>
    <r>
      <rPr>
        <sz val="11"/>
        <color rgb="FF000000"/>
        <rFont val="Calibri"/>
        <family val="0"/>
        <charset val="134"/>
      </rPr>
      <t xml:space="preserve">XX</t>
    </r>
    <r>
      <rPr>
        <sz val="11"/>
        <color rgb="FF000000"/>
        <rFont val="Noto Sans CJK SC"/>
        <family val="2"/>
      </rPr>
      <t xml:space="preserve">邮编</t>
    </r>
    <r>
      <rPr>
        <sz val="11"/>
        <color rgb="FF000000"/>
        <rFont val="Calibri"/>
        <family val="0"/>
        <charset val="134"/>
      </rPr>
      <t xml:space="preserve">50001 B</t>
    </r>
  </si>
  <si>
    <r>
      <rPr>
        <sz val="11"/>
        <color rgb="FF000000"/>
        <rFont val="Calibri"/>
        <family val="0"/>
        <charset val="134"/>
      </rPr>
      <t xml:space="preserve">XX</t>
    </r>
    <r>
      <rPr>
        <sz val="11"/>
        <color rgb="FF000000"/>
        <rFont val="Noto Sans CJK SC"/>
        <family val="2"/>
      </rPr>
      <t xml:space="preserve">邮编</t>
    </r>
    <r>
      <rPr>
        <sz val="11"/>
        <color rgb="FF000000"/>
        <rFont val="Calibri"/>
        <family val="0"/>
        <charset val="134"/>
      </rPr>
      <t xml:space="preserve">50002 C</t>
    </r>
  </si>
  <si>
    <r>
      <rPr>
        <sz val="11"/>
        <color rgb="FF000000"/>
        <rFont val="Calibri"/>
        <family val="0"/>
        <charset val="134"/>
      </rPr>
      <t xml:space="preserve">XX</t>
    </r>
    <r>
      <rPr>
        <sz val="11"/>
        <color rgb="FF000000"/>
        <rFont val="Noto Sans CJK SC"/>
        <family val="2"/>
      </rPr>
      <t xml:space="preserve">邮编</t>
    </r>
    <r>
      <rPr>
        <sz val="11"/>
        <color rgb="FF000000"/>
        <rFont val="Calibri"/>
        <family val="0"/>
        <charset val="134"/>
      </rPr>
      <t xml:space="preserve">50003 D</t>
    </r>
  </si>
  <si>
    <r>
      <rPr>
        <sz val="11"/>
        <color rgb="FF000000"/>
        <rFont val="Calibri"/>
        <family val="0"/>
        <charset val="134"/>
      </rPr>
      <t xml:space="preserve">XX</t>
    </r>
    <r>
      <rPr>
        <sz val="11"/>
        <color rgb="FF000000"/>
        <rFont val="Noto Sans CJK SC"/>
        <family val="2"/>
      </rPr>
      <t xml:space="preserve">邮编</t>
    </r>
    <r>
      <rPr>
        <sz val="11"/>
        <color rgb="FF000000"/>
        <rFont val="Calibri"/>
        <family val="0"/>
        <charset val="134"/>
      </rPr>
      <t xml:space="preserve">50004 C</t>
    </r>
  </si>
  <si>
    <r>
      <rPr>
        <sz val="11"/>
        <color rgb="FF000000"/>
        <rFont val="Calibri"/>
        <family val="0"/>
        <charset val="134"/>
      </rPr>
      <t xml:space="preserve">XX</t>
    </r>
    <r>
      <rPr>
        <sz val="11"/>
        <color rgb="FF000000"/>
        <rFont val="Noto Sans CJK SC"/>
        <family val="2"/>
      </rPr>
      <t xml:space="preserve">邮编</t>
    </r>
    <r>
      <rPr>
        <sz val="11"/>
        <color rgb="FF000000"/>
        <rFont val="Calibri"/>
        <family val="0"/>
        <charset val="134"/>
      </rPr>
      <t xml:space="preserve">50005 A</t>
    </r>
  </si>
  <si>
    <r>
      <rPr>
        <sz val="11"/>
        <color rgb="FF000000"/>
        <rFont val="Calibri"/>
        <family val="0"/>
        <charset val="134"/>
      </rPr>
      <t xml:space="preserve">XX</t>
    </r>
    <r>
      <rPr>
        <sz val="11"/>
        <color rgb="FF000000"/>
        <rFont val="Noto Sans CJK SC"/>
        <family val="2"/>
      </rPr>
      <t xml:space="preserve">邮编</t>
    </r>
    <r>
      <rPr>
        <sz val="11"/>
        <color rgb="FF000000"/>
        <rFont val="Calibri"/>
        <family val="0"/>
        <charset val="134"/>
      </rPr>
      <t xml:space="preserve">50006 F</t>
    </r>
  </si>
  <si>
    <r>
      <rPr>
        <sz val="11"/>
        <color rgb="FF000000"/>
        <rFont val="Calibri"/>
        <family val="0"/>
        <charset val="134"/>
      </rPr>
      <t xml:space="preserve">XX</t>
    </r>
    <r>
      <rPr>
        <sz val="11"/>
        <color rgb="FF000000"/>
        <rFont val="Noto Sans CJK SC"/>
        <family val="2"/>
      </rPr>
      <t xml:space="preserve">邮编</t>
    </r>
    <r>
      <rPr>
        <sz val="11"/>
        <color rgb="FF000000"/>
        <rFont val="Calibri"/>
        <family val="0"/>
        <charset val="134"/>
      </rPr>
      <t xml:space="preserve">50007 C</t>
    </r>
  </si>
  <si>
    <r>
      <rPr>
        <sz val="11"/>
        <color rgb="FF000000"/>
        <rFont val="Calibri"/>
        <family val="0"/>
        <charset val="134"/>
      </rPr>
      <t xml:space="preserve">XX</t>
    </r>
    <r>
      <rPr>
        <sz val="11"/>
        <color rgb="FF000000"/>
        <rFont val="Noto Sans CJK SC"/>
        <family val="2"/>
      </rPr>
      <t xml:space="preserve">邮编</t>
    </r>
    <r>
      <rPr>
        <sz val="11"/>
        <color rgb="FF000000"/>
        <rFont val="Calibri"/>
        <family val="0"/>
        <charset val="134"/>
      </rPr>
      <t xml:space="preserve">50008 C</t>
    </r>
  </si>
  <si>
    <r>
      <rPr>
        <sz val="11"/>
        <color rgb="FF000000"/>
        <rFont val="Calibri"/>
        <family val="0"/>
        <charset val="134"/>
      </rPr>
      <t xml:space="preserve">XX</t>
    </r>
    <r>
      <rPr>
        <sz val="11"/>
        <color rgb="FF000000"/>
        <rFont val="Noto Sans CJK SC"/>
        <family val="2"/>
      </rPr>
      <t xml:space="preserve">邮编</t>
    </r>
    <r>
      <rPr>
        <sz val="11"/>
        <color rgb="FF000000"/>
        <rFont val="Calibri"/>
        <family val="0"/>
        <charset val="134"/>
      </rPr>
      <t xml:space="preserve">50009 C</t>
    </r>
  </si>
  <si>
    <r>
      <rPr>
        <sz val="11"/>
        <color rgb="FF000000"/>
        <rFont val="Calibri"/>
        <family val="0"/>
        <charset val="134"/>
      </rPr>
      <t xml:space="preserve">XX</t>
    </r>
    <r>
      <rPr>
        <sz val="11"/>
        <color rgb="FF000000"/>
        <rFont val="Noto Sans CJK SC"/>
        <family val="2"/>
      </rPr>
      <t xml:space="preserve">邮编</t>
    </r>
    <r>
      <rPr>
        <sz val="11"/>
        <color rgb="FF000000"/>
        <rFont val="Calibri"/>
        <family val="0"/>
        <charset val="134"/>
      </rPr>
      <t xml:space="preserve">50010 E</t>
    </r>
  </si>
  <si>
    <r>
      <rPr>
        <sz val="11"/>
        <color rgb="FF000000"/>
        <rFont val="Calibri"/>
        <family val="0"/>
        <charset val="134"/>
      </rPr>
      <t xml:space="preserve">XX</t>
    </r>
    <r>
      <rPr>
        <sz val="11"/>
        <color rgb="FF000000"/>
        <rFont val="Noto Sans CJK SC"/>
        <family val="2"/>
      </rPr>
      <t xml:space="preserve">邮编</t>
    </r>
    <r>
      <rPr>
        <sz val="11"/>
        <color rgb="FF000000"/>
        <rFont val="Calibri"/>
        <family val="0"/>
        <charset val="134"/>
      </rPr>
      <t xml:space="preserve">50011 D</t>
    </r>
  </si>
  <si>
    <t xml:space="preserve">模板</t>
  </si>
  <si>
    <r>
      <rPr>
        <sz val="11"/>
        <color rgb="FF2E7D32"/>
        <rFont val="Noto Sans CJK SC"/>
        <family val="2"/>
      </rPr>
      <t xml:space="preserve">产品</t>
    </r>
    <r>
      <rPr>
        <sz val="11"/>
        <color rgb="FF2E7D32"/>
        <rFont val="Cambria"/>
        <family val="0"/>
        <charset val="1"/>
      </rPr>
      <t xml:space="preserve">F
6</t>
    </r>
    <r>
      <rPr>
        <sz val="11"/>
        <color rgb="FF2E7D32"/>
        <rFont val="Noto Sans CJK SC"/>
        <family val="2"/>
      </rPr>
      <t xml:space="preserve">箱一托</t>
    </r>
  </si>
  <si>
    <t xml:space="preserve">预计时效</t>
  </si>
  <si>
    <r>
      <rPr>
        <sz val="11"/>
        <color rgb="FF000000"/>
        <rFont val="Noto Sans CJK SC"/>
        <family val="2"/>
      </rPr>
      <t xml:space="preserve">产品</t>
    </r>
    <r>
      <rPr>
        <sz val="11"/>
        <color rgb="FF000000"/>
        <rFont val="宋体"/>
        <family val="0"/>
        <charset val="134"/>
      </rPr>
      <t xml:space="preserve">C
4</t>
    </r>
    <r>
      <rPr>
        <sz val="11"/>
        <color rgb="FF000000"/>
        <rFont val="Noto Sans CJK SC"/>
        <family val="2"/>
      </rPr>
      <t xml:space="preserve">箱一托</t>
    </r>
  </si>
  <si>
    <r>
      <rPr>
        <sz val="11"/>
        <color rgb="FF000000"/>
        <rFont val="Noto Sans CJK SC"/>
        <family val="2"/>
      </rPr>
      <t xml:space="preserve">产品</t>
    </r>
    <r>
      <rPr>
        <sz val="11"/>
        <color rgb="FF000000"/>
        <rFont val="宋体"/>
        <family val="0"/>
        <charset val="134"/>
      </rPr>
      <t xml:space="preserve">E
4</t>
    </r>
    <r>
      <rPr>
        <sz val="11"/>
        <color rgb="FF000000"/>
        <rFont val="Noto Sans CJK SC"/>
        <family val="2"/>
      </rPr>
      <t xml:space="preserve">箱一托</t>
    </r>
  </si>
  <si>
    <r>
      <rPr>
        <sz val="11"/>
        <color rgb="FF000000"/>
        <rFont val="Noto Sans CJK SC"/>
        <family val="2"/>
      </rPr>
      <t xml:space="preserve">产品</t>
    </r>
    <r>
      <rPr>
        <sz val="11"/>
        <color rgb="FF000000"/>
        <rFont val="宋体"/>
        <family val="0"/>
        <charset val="134"/>
      </rPr>
      <t xml:space="preserve">D
6</t>
    </r>
    <r>
      <rPr>
        <sz val="11"/>
        <color rgb="FF000000"/>
        <rFont val="Noto Sans CJK SC"/>
        <family val="2"/>
      </rPr>
      <t xml:space="preserve">箱一托</t>
    </r>
  </si>
  <si>
    <r>
      <rPr>
        <sz val="11"/>
        <color rgb="FF000000"/>
        <rFont val="Noto Sans CJK SC"/>
        <family val="2"/>
      </rPr>
      <t xml:space="preserve">产品</t>
    </r>
    <r>
      <rPr>
        <sz val="11"/>
        <color rgb="FF000000"/>
        <rFont val="宋体"/>
        <family val="0"/>
        <charset val="134"/>
      </rPr>
      <t xml:space="preserve">A
6</t>
    </r>
    <r>
      <rPr>
        <sz val="11"/>
        <color rgb="FF000000"/>
        <rFont val="Noto Sans CJK SC"/>
        <family val="2"/>
      </rPr>
      <t xml:space="preserve">箱一托</t>
    </r>
  </si>
  <si>
    <r>
      <rPr>
        <sz val="11"/>
        <color rgb="FF000000"/>
        <rFont val="Noto Sans CJK SC"/>
        <family val="2"/>
      </rPr>
      <t xml:space="preserve">产品</t>
    </r>
    <r>
      <rPr>
        <sz val="11"/>
        <color rgb="FF000000"/>
        <rFont val="宋体"/>
        <family val="0"/>
        <charset val="134"/>
      </rPr>
      <t xml:space="preserve">A
4</t>
    </r>
    <r>
      <rPr>
        <sz val="11"/>
        <color rgb="FF000000"/>
        <rFont val="Noto Sans CJK SC"/>
        <family val="2"/>
      </rPr>
      <t xml:space="preserve">箱一托</t>
    </r>
  </si>
  <si>
    <r>
      <rPr>
        <sz val="11"/>
        <color rgb="FF000000"/>
        <rFont val="Noto Sans CJK SC"/>
        <family val="2"/>
      </rPr>
      <t xml:space="preserve">产品</t>
    </r>
    <r>
      <rPr>
        <sz val="11"/>
        <color rgb="FF000000"/>
        <rFont val="宋体"/>
        <family val="0"/>
        <charset val="134"/>
      </rPr>
      <t xml:space="preserve">B
5</t>
    </r>
    <r>
      <rPr>
        <sz val="11"/>
        <color rgb="FF000000"/>
        <rFont val="Noto Sans CJK SC"/>
        <family val="2"/>
      </rPr>
      <t xml:space="preserve">箱一托</t>
    </r>
  </si>
  <si>
    <r>
      <rPr>
        <sz val="11"/>
        <color rgb="FF000000"/>
        <rFont val="Noto Sans CJK SC"/>
        <family val="2"/>
      </rPr>
      <t xml:space="preserve">产品</t>
    </r>
    <r>
      <rPr>
        <sz val="11"/>
        <color rgb="FF000000"/>
        <rFont val="宋体"/>
        <family val="0"/>
        <charset val="134"/>
      </rPr>
      <t xml:space="preserve">F
5</t>
    </r>
    <r>
      <rPr>
        <sz val="11"/>
        <color rgb="FF000000"/>
        <rFont val="Noto Sans CJK SC"/>
        <family val="2"/>
      </rPr>
      <t xml:space="preserve">箱一托</t>
    </r>
  </si>
  <si>
    <t xml:space="preserve">一箱一托</t>
  </si>
  <si>
    <r>
      <rPr>
        <sz val="11"/>
        <color rgb="FF000000"/>
        <rFont val="Noto Sans CJK SC"/>
        <family val="2"/>
      </rPr>
      <t xml:space="preserve">产品</t>
    </r>
    <r>
      <rPr>
        <sz val="11"/>
        <color rgb="FF000000"/>
        <rFont val="宋体"/>
        <family val="0"/>
        <charset val="134"/>
      </rPr>
      <t xml:space="preserve">D
3</t>
    </r>
    <r>
      <rPr>
        <sz val="11"/>
        <color rgb="FF000000"/>
        <rFont val="Noto Sans CJK SC"/>
        <family val="2"/>
      </rPr>
      <t xml:space="preserve">箱一托</t>
    </r>
  </si>
  <si>
    <r>
      <rPr>
        <sz val="11"/>
        <color rgb="FF000000"/>
        <rFont val="Noto Sans CJK SC"/>
        <family val="2"/>
      </rPr>
      <t xml:space="preserve">产品</t>
    </r>
    <r>
      <rPr>
        <sz val="11"/>
        <color rgb="FF000000"/>
        <rFont val="宋体"/>
        <family val="0"/>
        <charset val="134"/>
      </rPr>
      <t xml:space="preserve">D
1</t>
    </r>
    <r>
      <rPr>
        <sz val="11"/>
        <color rgb="FF000000"/>
        <rFont val="Noto Sans CJK SC"/>
        <family val="2"/>
      </rPr>
      <t xml:space="preserve">箱一托</t>
    </r>
  </si>
  <si>
    <r>
      <rPr>
        <sz val="11"/>
        <color rgb="FF000000"/>
        <rFont val="Noto Sans CJK SC"/>
        <family val="2"/>
      </rPr>
      <t xml:space="preserve">产品</t>
    </r>
    <r>
      <rPr>
        <sz val="11"/>
        <color rgb="FF000000"/>
        <rFont val="宋体"/>
        <family val="0"/>
        <charset val="134"/>
      </rPr>
      <t xml:space="preserve">C
3</t>
    </r>
    <r>
      <rPr>
        <sz val="11"/>
        <color rgb="FF000000"/>
        <rFont val="Noto Sans CJK SC"/>
        <family val="2"/>
      </rPr>
      <t xml:space="preserve">箱一托</t>
    </r>
  </si>
  <si>
    <r>
      <rPr>
        <sz val="11"/>
        <color rgb="FF000000"/>
        <rFont val="Noto Sans CJK SC"/>
        <family val="2"/>
      </rPr>
      <t xml:space="preserve">产品</t>
    </r>
    <r>
      <rPr>
        <sz val="11"/>
        <color rgb="FF000000"/>
        <rFont val="宋体"/>
        <family val="0"/>
        <charset val="134"/>
      </rPr>
      <t xml:space="preserve">B
7</t>
    </r>
    <r>
      <rPr>
        <sz val="11"/>
        <color rgb="FF000000"/>
        <rFont val="Noto Sans CJK SC"/>
        <family val="2"/>
      </rPr>
      <t xml:space="preserve">箱一托</t>
    </r>
  </si>
  <si>
    <t xml:space="preserve">700.13 
</t>
  </si>
  <si>
    <t xml:space="preserve">900.80 
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</si>
</sst>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_);[RED]\(0.0\)"/>
    <numFmt numFmtId="166" formatCode="0_ "/>
    <numFmt numFmtId="167" formatCode="0.00_ "/>
  </numFmts>
  <fonts count="10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E7D32"/>
      <name val="Noto Sans CJK SC"/>
      <family val="2"/>
    </font>
    <font>
      <sz val="11"/>
      <color rgb="FF2E7D32"/>
      <name val="Cambria"/>
      <family val="0"/>
      <charset val="1"/>
    </font>
    <font>
      <b val="true"/>
      <sz val="16"/>
      <color rgb="FF000000"/>
      <name val="Noto Sans CJK SC"/>
      <family val="2"/>
    </font>
    <font>
      <sz val="11"/>
      <color rgb="FF000000"/>
      <name val="Noto Sans CJK SC"/>
      <family val="2"/>
    </font>
    <font>
      <sz val="11"/>
      <color rgb="FF000000"/>
      <name val="宋体"/>
      <family val="0"/>
      <charset val="134"/>
    </font>
    <font>
      <sz val="14"/>
      <color rgb="FF2E7D32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1F8E9"/>
        <bgColor rgb="FFE8F5E9"/>
      </patternFill>
    </fill>
    <fill>
      <patternFill patternType="solid">
        <fgColor rgb="FF43A047"/>
        <bgColor rgb="FF2E7D32"/>
      </patternFill>
    </fill>
    <fill>
      <patternFill patternType="solid">
        <fgColor rgb="FFE8F5E9"/>
        <bgColor rgb="FFF1F8E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1F8E9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3A0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9" topLeftCell="M10" activePane="bottomLeft" state="frozen"/>
      <selection pane="topLeft" activeCell="A1" activeCellId="0" sqref="A1"/>
      <selection pane="bottomLeft" activeCell="F2" activeCellId="0" sqref="F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13.95"/>
    <col collapsed="false" customWidth="true" hidden="false" outlineLevel="0" max="4" min="2" style="2" width="7.71"/>
    <col collapsed="false" customWidth="false" hidden="false" outlineLevel="0" max="5" min="5" style="2" width="9"/>
    <col collapsed="false" customWidth="true" hidden="false" outlineLevel="0" max="9" min="6" style="1" width="12.26"/>
    <col collapsed="false" customWidth="true" hidden="false" outlineLevel="0" max="10" min="10" style="1" width="9.74"/>
    <col collapsed="false" customWidth="true" hidden="false" outlineLevel="0" max="11" min="11" style="0" width="17.99"/>
    <col collapsed="false" customWidth="true" hidden="false" outlineLevel="0" max="12" min="12" style="1" width="15.3"/>
    <col collapsed="false" customWidth="true" hidden="false" outlineLevel="0" max="13" min="13" style="1" width="17.72"/>
    <col collapsed="false" customWidth="true" hidden="false" outlineLevel="0" max="17" min="14" style="1" width="14.95"/>
    <col collapsed="false" customWidth="true" hidden="false" outlineLevel="0" max="25" min="18" style="0" width="14.95"/>
  </cols>
  <sheetData>
    <row r="1" customFormat="false" ht="28.5" hidden="false" customHeight="true" outlineLevel="0" collapsed="false">
      <c r="A1" s="2"/>
      <c r="N1" s="3" t="s">
        <v>0</v>
      </c>
      <c r="O1" s="3"/>
      <c r="P1" s="3"/>
      <c r="Q1" s="3" t="s">
        <v>1</v>
      </c>
      <c r="R1" s="3"/>
      <c r="S1" s="3"/>
      <c r="T1" s="3" t="s">
        <v>2</v>
      </c>
      <c r="U1" s="3"/>
      <c r="V1" s="3"/>
      <c r="W1" s="3" t="s">
        <v>3</v>
      </c>
      <c r="X1" s="3"/>
      <c r="Y1" s="3"/>
    </row>
    <row r="2" customFormat="false" ht="114" hidden="false" customHeight="true" outlineLevel="0" collapsed="false">
      <c r="A2" s="2"/>
      <c r="B2" s="4" t="s">
        <v>4</v>
      </c>
      <c r="C2" s="4"/>
      <c r="D2" s="4"/>
      <c r="E2" s="4"/>
      <c r="F2" s="5" t="s">
        <v>5</v>
      </c>
      <c r="G2" s="5"/>
      <c r="H2" s="5"/>
      <c r="I2" s="5"/>
      <c r="J2" s="5"/>
      <c r="K2" s="6" t="s">
        <v>6</v>
      </c>
      <c r="L2" s="7" t="s">
        <v>7</v>
      </c>
      <c r="M2" s="7"/>
      <c r="N2" s="3" t="s">
        <v>8</v>
      </c>
      <c r="O2" s="3" t="s">
        <v>9</v>
      </c>
      <c r="P2" s="3" t="s">
        <v>10</v>
      </c>
      <c r="Q2" s="3" t="s">
        <v>11</v>
      </c>
      <c r="R2" s="3" t="s">
        <v>12</v>
      </c>
      <c r="S2" s="3" t="s">
        <v>13</v>
      </c>
      <c r="T2" s="3" t="s">
        <v>14</v>
      </c>
      <c r="U2" s="3" t="s">
        <v>15</v>
      </c>
      <c r="V2" s="3" t="s">
        <v>16</v>
      </c>
      <c r="W2" s="3" t="s">
        <v>17</v>
      </c>
      <c r="X2" s="3" t="s">
        <v>18</v>
      </c>
      <c r="Y2" s="3" t="s">
        <v>19</v>
      </c>
    </row>
    <row r="3" customFormat="false" ht="48.75" hidden="false" customHeight="true" outlineLevel="0" collapsed="false">
      <c r="A3" s="8" t="s">
        <v>20</v>
      </c>
      <c r="B3" s="9" t="s">
        <v>21</v>
      </c>
      <c r="C3" s="9" t="s">
        <v>22</v>
      </c>
      <c r="D3" s="9" t="s">
        <v>23</v>
      </c>
      <c r="E3" s="9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0" t="s">
        <v>29</v>
      </c>
      <c r="K3" s="11" t="s">
        <v>30</v>
      </c>
      <c r="L3" s="12" t="s">
        <v>31</v>
      </c>
      <c r="M3" s="12" t="s">
        <v>32</v>
      </c>
      <c r="N3" s="8" t="s">
        <v>33</v>
      </c>
      <c r="O3" s="8" t="s">
        <v>34</v>
      </c>
      <c r="P3" s="8" t="s">
        <v>35</v>
      </c>
      <c r="Q3" s="8" t="s">
        <v>36</v>
      </c>
      <c r="R3" s="8" t="s">
        <v>37</v>
      </c>
      <c r="S3" s="8" t="s">
        <v>38</v>
      </c>
      <c r="T3" s="8" t="s">
        <v>39</v>
      </c>
      <c r="U3" s="8" t="s">
        <v>40</v>
      </c>
      <c r="V3" s="8" t="s">
        <v>41</v>
      </c>
      <c r="W3" s="8" t="s">
        <v>42</v>
      </c>
      <c r="X3" s="8" t="s">
        <v>43</v>
      </c>
      <c r="Y3" s="8" t="s">
        <v>44</v>
      </c>
    </row>
    <row r="4" customFormat="false" ht="1.5" hidden="false" customHeight="true" outlineLevel="0" collapsed="false">
      <c r="A4" s="13" t="s">
        <v>45</v>
      </c>
      <c r="B4" s="14"/>
      <c r="C4" s="14"/>
      <c r="D4" s="14"/>
      <c r="E4" s="14"/>
      <c r="F4" s="15" t="n">
        <f aca="false">B4/2.54</f>
        <v>0</v>
      </c>
      <c r="G4" s="15" t="n">
        <f aca="false">C4/2.54</f>
        <v>0</v>
      </c>
      <c r="H4" s="15" t="n">
        <f aca="false">D4/2.54</f>
        <v>0</v>
      </c>
      <c r="I4" s="15" t="n">
        <f aca="false">E4*2.2</f>
        <v>0</v>
      </c>
      <c r="J4" s="15" t="n">
        <f aca="false">SUM(I4:I9)</f>
        <v>0</v>
      </c>
      <c r="K4" s="13" t="s">
        <v>46</v>
      </c>
      <c r="L4" s="16"/>
      <c r="M4" s="16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customFormat="false" ht="14.25" hidden="false" customHeight="false" outlineLevel="0" collapsed="false">
      <c r="A5" s="13"/>
      <c r="B5" s="14"/>
      <c r="C5" s="14"/>
      <c r="D5" s="14"/>
      <c r="E5" s="14"/>
      <c r="F5" s="15" t="n">
        <f aca="false">B5/2.54</f>
        <v>0</v>
      </c>
      <c r="G5" s="15" t="n">
        <f aca="false">C5/2.54</f>
        <v>0</v>
      </c>
      <c r="H5" s="15" t="n">
        <f aca="false">D5/2.54</f>
        <v>0</v>
      </c>
      <c r="I5" s="15" t="n">
        <f aca="false">E5*2.2</f>
        <v>0</v>
      </c>
      <c r="J5" s="15"/>
      <c r="K5" s="15"/>
      <c r="L5" s="15"/>
      <c r="M5" s="16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customFormat="false" ht="9.75" hidden="false" customHeight="true" outlineLevel="0" collapsed="false">
      <c r="A6" s="13"/>
      <c r="B6" s="14"/>
      <c r="C6" s="14"/>
      <c r="D6" s="14"/>
      <c r="E6" s="14"/>
      <c r="F6" s="15" t="n">
        <f aca="false">B6/2.54</f>
        <v>0</v>
      </c>
      <c r="G6" s="15" t="n">
        <f aca="false">C6/2.54</f>
        <v>0</v>
      </c>
      <c r="H6" s="15" t="n">
        <f aca="false">D6/2.54</f>
        <v>0</v>
      </c>
      <c r="I6" s="15" t="n">
        <f aca="false">E6*2.2</f>
        <v>0</v>
      </c>
      <c r="J6" s="15"/>
      <c r="K6" s="15"/>
      <c r="L6" s="15"/>
      <c r="M6" s="16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 customFormat="false" ht="14.25" hidden="false" customHeight="false" outlineLevel="0" collapsed="false">
      <c r="A7" s="13"/>
      <c r="B7" s="14"/>
      <c r="C7" s="14"/>
      <c r="D7" s="14"/>
      <c r="E7" s="14"/>
      <c r="F7" s="15" t="n">
        <f aca="false">B7/2.54</f>
        <v>0</v>
      </c>
      <c r="G7" s="15" t="n">
        <f aca="false">C7/2.54</f>
        <v>0</v>
      </c>
      <c r="H7" s="15" t="n">
        <f aca="false">D7/2.54</f>
        <v>0</v>
      </c>
      <c r="I7" s="15" t="n">
        <f aca="false">E7*2.2</f>
        <v>0</v>
      </c>
      <c r="J7" s="15"/>
      <c r="K7" s="15"/>
      <c r="L7" s="15"/>
      <c r="M7" s="16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customFormat="false" ht="14.25" hidden="false" customHeight="false" outlineLevel="0" collapsed="false">
      <c r="A8" s="13"/>
      <c r="B8" s="14"/>
      <c r="C8" s="14"/>
      <c r="D8" s="14"/>
      <c r="E8" s="14"/>
      <c r="F8" s="15" t="n">
        <f aca="false">B8/2.54</f>
        <v>0</v>
      </c>
      <c r="G8" s="15" t="n">
        <f aca="false">C8/2.54</f>
        <v>0</v>
      </c>
      <c r="H8" s="15" t="n">
        <f aca="false">D8/2.54</f>
        <v>0</v>
      </c>
      <c r="I8" s="15" t="n">
        <f aca="false">E8*2.2</f>
        <v>0</v>
      </c>
      <c r="J8" s="15"/>
      <c r="K8" s="15"/>
      <c r="L8" s="15"/>
      <c r="M8" s="16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customFormat="false" ht="14.25" hidden="false" customHeight="false" outlineLevel="0" collapsed="false">
      <c r="A9" s="13"/>
      <c r="B9" s="14"/>
      <c r="C9" s="14"/>
      <c r="D9" s="14"/>
      <c r="E9" s="14"/>
      <c r="F9" s="15" t="n">
        <f aca="false">B9/2.54</f>
        <v>0</v>
      </c>
      <c r="G9" s="15" t="n">
        <f aca="false">C9/2.54</f>
        <v>0</v>
      </c>
      <c r="H9" s="15" t="n">
        <f aca="false">D9/2.54</f>
        <v>0</v>
      </c>
      <c r="I9" s="15" t="n">
        <f aca="false">E9*2.2</f>
        <v>0</v>
      </c>
      <c r="J9" s="15"/>
      <c r="K9" s="15"/>
      <c r="L9" s="15"/>
      <c r="M9" s="16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 customFormat="false" ht="18.75" hidden="false" customHeight="true" outlineLevel="0" collapsed="false">
      <c r="A10" s="18"/>
      <c r="F10" s="19" t="n">
        <v>113</v>
      </c>
      <c r="G10" s="19" t="n">
        <v>40</v>
      </c>
      <c r="H10" s="19" t="n">
        <v>37</v>
      </c>
      <c r="I10" s="19"/>
      <c r="J10" s="19" t="n">
        <v>300</v>
      </c>
      <c r="K10" s="1"/>
      <c r="L10" s="20"/>
      <c r="M10" s="21" t="s">
        <v>47</v>
      </c>
      <c r="N10" s="22"/>
      <c r="O10" s="22"/>
      <c r="P10" s="22"/>
      <c r="Q10" s="22"/>
      <c r="R10" s="22"/>
      <c r="S10" s="22"/>
      <c r="T10" s="23"/>
      <c r="U10" s="23"/>
      <c r="V10" s="23"/>
      <c r="W10" s="23"/>
      <c r="X10" s="23"/>
      <c r="Y10" s="23"/>
    </row>
    <row r="11" customFormat="false" ht="14.25" hidden="false" customHeight="true" outlineLevel="0" collapsed="false">
      <c r="A11" s="24"/>
      <c r="B11" s="25" t="n">
        <f aca="false">F11*2.54</f>
        <v>60</v>
      </c>
      <c r="C11" s="25" t="n">
        <f aca="false">G11*2.54</f>
        <v>45.0000000000001</v>
      </c>
      <c r="D11" s="25" t="n">
        <f aca="false">H11*2.54</f>
        <v>15</v>
      </c>
      <c r="E11" s="25" t="n">
        <f aca="false">I11/2.2</f>
        <v>7.5</v>
      </c>
      <c r="F11" s="15" t="n">
        <v>23.6220472440945</v>
      </c>
      <c r="G11" s="15" t="n">
        <v>17.7165354330709</v>
      </c>
      <c r="H11" s="15" t="n">
        <v>5.90551181102362</v>
      </c>
      <c r="I11" s="15" t="n">
        <v>16.5</v>
      </c>
      <c r="J11" s="15" t="n">
        <f aca="false">SUM(I11:I14)</f>
        <v>244.86</v>
      </c>
      <c r="K11" s="26" t="s">
        <v>48</v>
      </c>
      <c r="L11" s="15"/>
      <c r="M11" s="15"/>
      <c r="N11" s="27" t="n">
        <v>397.25</v>
      </c>
      <c r="O11" s="27" t="n">
        <v>328.88</v>
      </c>
      <c r="P11" s="27" t="n">
        <v>328.88</v>
      </c>
      <c r="Q11" s="27" t="n">
        <v>365.97</v>
      </c>
      <c r="R11" s="27" t="n">
        <v>328.88</v>
      </c>
      <c r="S11" s="27" t="n">
        <v>266.35</v>
      </c>
      <c r="T11" s="27" t="n">
        <v>397.25</v>
      </c>
      <c r="U11" s="27" t="n">
        <v>328.88</v>
      </c>
      <c r="V11" s="27" t="n">
        <v>328.88</v>
      </c>
      <c r="W11" s="27" t="n">
        <v>375.16</v>
      </c>
      <c r="X11" s="27" t="n">
        <v>357.6</v>
      </c>
      <c r="Y11" s="27" t="n">
        <v>346.37</v>
      </c>
    </row>
    <row r="12" customFormat="false" ht="14.25" hidden="false" customHeight="false" outlineLevel="0" collapsed="false">
      <c r="A12" s="24"/>
      <c r="B12" s="25" t="n">
        <f aca="false">F12*2.54</f>
        <v>144</v>
      </c>
      <c r="C12" s="25" t="n">
        <f aca="false">G12*2.54</f>
        <v>41.0000000000001</v>
      </c>
      <c r="D12" s="25" t="n">
        <f aca="false">H12*2.54</f>
        <v>23</v>
      </c>
      <c r="E12" s="25" t="n">
        <f aca="false">I12/2.2</f>
        <v>40</v>
      </c>
      <c r="F12" s="15" t="n">
        <v>56.6929133858268</v>
      </c>
      <c r="G12" s="15" t="n">
        <v>16.1417322834646</v>
      </c>
      <c r="H12" s="15" t="n">
        <v>9.05511811023622</v>
      </c>
      <c r="I12" s="15" t="n">
        <v>88</v>
      </c>
      <c r="J12" s="15"/>
      <c r="K12" s="15"/>
      <c r="L12" s="15"/>
      <c r="M12" s="15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</row>
    <row r="13" customFormat="false" ht="14.25" hidden="false" customHeight="false" outlineLevel="0" collapsed="false">
      <c r="A13" s="24"/>
      <c r="B13" s="25" t="n">
        <f aca="false">F13*2.54</f>
        <v>263</v>
      </c>
      <c r="C13" s="25" t="n">
        <f aca="false">G13*2.54</f>
        <v>25</v>
      </c>
      <c r="D13" s="25" t="n">
        <f aca="false">H13*2.54</f>
        <v>22</v>
      </c>
      <c r="E13" s="25" t="n">
        <f aca="false">I13/2.2</f>
        <v>27.8</v>
      </c>
      <c r="F13" s="15" t="n">
        <v>103.543307086614</v>
      </c>
      <c r="G13" s="15" t="n">
        <v>9.84251968503937</v>
      </c>
      <c r="H13" s="15" t="n">
        <v>8.66141732283465</v>
      </c>
      <c r="I13" s="15" t="n">
        <v>61.16</v>
      </c>
      <c r="J13" s="15"/>
      <c r="K13" s="15"/>
      <c r="L13" s="15"/>
      <c r="M13" s="15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</row>
    <row r="14" customFormat="false" ht="14.25" hidden="false" customHeight="false" outlineLevel="0" collapsed="false">
      <c r="A14" s="24"/>
      <c r="B14" s="25" t="n">
        <f aca="false">F14*2.54</f>
        <v>285.999999999999</v>
      </c>
      <c r="C14" s="25" t="n">
        <f aca="false">G14*2.54</f>
        <v>41.0000000000001</v>
      </c>
      <c r="D14" s="25" t="n">
        <f aca="false">H14*2.54</f>
        <v>17</v>
      </c>
      <c r="E14" s="25" t="n">
        <f aca="false">I14/2.2</f>
        <v>36</v>
      </c>
      <c r="F14" s="15" t="n">
        <v>112.59842519685</v>
      </c>
      <c r="G14" s="15" t="n">
        <v>16.1417322834646</v>
      </c>
      <c r="H14" s="15" t="n">
        <v>6.69291338582677</v>
      </c>
      <c r="I14" s="15" t="n">
        <v>79.2</v>
      </c>
      <c r="J14" s="15"/>
      <c r="K14" s="15"/>
      <c r="L14" s="15"/>
      <c r="M14" s="15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</row>
    <row r="15" customFormat="false" ht="18.75" hidden="false" customHeight="true" outlineLevel="0" collapsed="false">
      <c r="A15" s="18"/>
      <c r="F15" s="19" t="n">
        <v>113</v>
      </c>
      <c r="G15" s="19" t="n">
        <v>40</v>
      </c>
      <c r="H15" s="19" t="n">
        <v>37</v>
      </c>
      <c r="I15" s="19"/>
      <c r="J15" s="19" t="n">
        <v>300</v>
      </c>
      <c r="K15" s="1"/>
      <c r="L15" s="20"/>
      <c r="M15" s="21" t="s">
        <v>47</v>
      </c>
      <c r="N15" s="18"/>
      <c r="O15" s="18"/>
      <c r="P15" s="18"/>
      <c r="Q15" s="18"/>
      <c r="R15" s="18"/>
      <c r="S15" s="18"/>
      <c r="T15" s="28"/>
      <c r="U15" s="28"/>
      <c r="V15" s="28"/>
      <c r="W15" s="28"/>
      <c r="X15" s="28"/>
      <c r="Y15" s="28"/>
    </row>
    <row r="16" customFormat="false" ht="14.25" hidden="false" customHeight="true" outlineLevel="0" collapsed="false">
      <c r="A16" s="24"/>
      <c r="B16" s="25" t="n">
        <f aca="false">F16*2.54</f>
        <v>60</v>
      </c>
      <c r="C16" s="25" t="n">
        <f aca="false">G16*2.54</f>
        <v>45.0000000000001</v>
      </c>
      <c r="D16" s="25" t="n">
        <f aca="false">H16*2.54</f>
        <v>15</v>
      </c>
      <c r="E16" s="25" t="n">
        <f aca="false">I16/2.2</f>
        <v>7.5</v>
      </c>
      <c r="F16" s="15" t="n">
        <v>23.6220472440945</v>
      </c>
      <c r="G16" s="15" t="n">
        <v>17.7165354330709</v>
      </c>
      <c r="H16" s="15" t="n">
        <v>5.90551181102362</v>
      </c>
      <c r="I16" s="15" t="n">
        <v>16.5</v>
      </c>
      <c r="J16" s="15" t="n">
        <f aca="false">SUM(I16:I19)</f>
        <v>247.5</v>
      </c>
      <c r="K16" s="26" t="s">
        <v>49</v>
      </c>
      <c r="L16" s="15"/>
      <c r="M16" s="15"/>
      <c r="N16" s="27" t="n">
        <v>520.25</v>
      </c>
      <c r="O16" s="27" t="n">
        <v>451.26</v>
      </c>
      <c r="P16" s="27" t="n">
        <v>451.26</v>
      </c>
      <c r="Q16" s="27" t="n">
        <v>488.59</v>
      </c>
      <c r="R16" s="27" t="n">
        <v>451.26</v>
      </c>
      <c r="S16" s="27" t="n">
        <v>387.97</v>
      </c>
      <c r="T16" s="27" t="n">
        <v>520.25</v>
      </c>
      <c r="U16" s="27" t="n">
        <v>451.26</v>
      </c>
      <c r="V16" s="27" t="n">
        <v>451.26</v>
      </c>
      <c r="W16" s="27" t="n">
        <v>497.54</v>
      </c>
      <c r="X16" s="27" t="n">
        <v>493.87</v>
      </c>
      <c r="Y16" s="27" t="n">
        <v>464.02</v>
      </c>
    </row>
    <row r="17" customFormat="false" ht="14.25" hidden="false" customHeight="false" outlineLevel="0" collapsed="false">
      <c r="A17" s="24"/>
      <c r="B17" s="25" t="n">
        <f aca="false">F17*2.54</f>
        <v>353</v>
      </c>
      <c r="C17" s="25" t="n">
        <f aca="false">G17*2.54</f>
        <v>41.0000000000001</v>
      </c>
      <c r="D17" s="25" t="n">
        <f aca="false">H17*2.54</f>
        <v>17</v>
      </c>
      <c r="E17" s="25" t="n">
        <f aca="false">I17/2.2</f>
        <v>36</v>
      </c>
      <c r="F17" s="15" t="n">
        <v>138.976377952756</v>
      </c>
      <c r="G17" s="15" t="n">
        <v>16.1417322834646</v>
      </c>
      <c r="H17" s="15" t="n">
        <v>6.69291338582677</v>
      </c>
      <c r="I17" s="15" t="n">
        <v>79.2</v>
      </c>
      <c r="J17" s="15"/>
      <c r="K17" s="15"/>
      <c r="L17" s="15"/>
      <c r="M17" s="15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</row>
    <row r="18" customFormat="false" ht="14.25" hidden="false" customHeight="false" outlineLevel="0" collapsed="false">
      <c r="A18" s="24"/>
      <c r="B18" s="25" t="n">
        <f aca="false">F18*2.54</f>
        <v>144</v>
      </c>
      <c r="C18" s="25" t="n">
        <f aca="false">G18*2.54</f>
        <v>41.0000000000001</v>
      </c>
      <c r="D18" s="25" t="n">
        <f aca="false">H18*2.54</f>
        <v>28</v>
      </c>
      <c r="E18" s="25" t="n">
        <f aca="false">I18/2.2</f>
        <v>45</v>
      </c>
      <c r="F18" s="15" t="n">
        <v>56.6929133858268</v>
      </c>
      <c r="G18" s="15" t="n">
        <v>16.1417322834646</v>
      </c>
      <c r="H18" s="15" t="n">
        <v>11.0236220472441</v>
      </c>
      <c r="I18" s="15" t="n">
        <v>99</v>
      </c>
      <c r="J18" s="15"/>
      <c r="K18" s="15"/>
      <c r="L18" s="15"/>
      <c r="M18" s="15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</row>
    <row r="19" customFormat="false" ht="14.25" hidden="false" customHeight="false" outlineLevel="0" collapsed="false">
      <c r="A19" s="24"/>
      <c r="B19" s="25" t="n">
        <f aca="false">F19*2.54</f>
        <v>263</v>
      </c>
      <c r="C19" s="25" t="n">
        <f aca="false">G19*2.54</f>
        <v>25</v>
      </c>
      <c r="D19" s="25" t="n">
        <f aca="false">H19*2.54</f>
        <v>22</v>
      </c>
      <c r="E19" s="25" t="n">
        <f aca="false">I19/2.2</f>
        <v>24</v>
      </c>
      <c r="F19" s="15" t="n">
        <v>103.543307086614</v>
      </c>
      <c r="G19" s="15" t="n">
        <v>9.84251968503937</v>
      </c>
      <c r="H19" s="15" t="n">
        <v>8.66141732283465</v>
      </c>
      <c r="I19" s="15" t="n">
        <v>52.8</v>
      </c>
      <c r="J19" s="15"/>
      <c r="K19" s="15"/>
      <c r="L19" s="15"/>
      <c r="M19" s="15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</row>
    <row r="20" customFormat="false" ht="18.75" hidden="false" customHeight="true" outlineLevel="0" collapsed="false">
      <c r="A20" s="18"/>
      <c r="F20" s="19" t="n">
        <v>139</v>
      </c>
      <c r="G20" s="19" t="n">
        <v>40</v>
      </c>
      <c r="H20" s="19" t="n">
        <v>39</v>
      </c>
      <c r="I20" s="19"/>
      <c r="J20" s="19" t="n">
        <v>303</v>
      </c>
      <c r="K20" s="1"/>
      <c r="L20" s="20"/>
      <c r="M20" s="21" t="s">
        <v>47</v>
      </c>
      <c r="N20" s="18"/>
      <c r="O20" s="18"/>
      <c r="P20" s="18"/>
      <c r="Q20" s="18"/>
      <c r="R20" s="18"/>
      <c r="S20" s="18"/>
      <c r="T20" s="28"/>
      <c r="U20" s="28"/>
      <c r="V20" s="28"/>
      <c r="W20" s="28"/>
      <c r="X20" s="28"/>
      <c r="Y20" s="28"/>
    </row>
    <row r="21" customFormat="false" ht="14.25" hidden="false" customHeight="true" outlineLevel="0" collapsed="false">
      <c r="A21" s="24"/>
      <c r="B21" s="25" t="n">
        <f aca="false">F21*2.54</f>
        <v>60</v>
      </c>
      <c r="C21" s="25" t="n">
        <f aca="false">G21*2.54</f>
        <v>45.0000000000001</v>
      </c>
      <c r="D21" s="25" t="n">
        <f aca="false">H21*2.54</f>
        <v>29.9999999999999</v>
      </c>
      <c r="E21" s="25" t="n">
        <f aca="false">I21/2.2</f>
        <v>10.7</v>
      </c>
      <c r="F21" s="15" t="n">
        <v>23.6220472440945</v>
      </c>
      <c r="G21" s="15" t="n">
        <v>17.7165354330709</v>
      </c>
      <c r="H21" s="15" t="n">
        <v>11.8110236220472</v>
      </c>
      <c r="I21" s="15" t="n">
        <v>23.54</v>
      </c>
      <c r="J21" s="15" t="n">
        <f aca="false">SUM(I21:I26)</f>
        <v>425.04</v>
      </c>
      <c r="K21" s="26" t="s">
        <v>50</v>
      </c>
      <c r="L21" s="15"/>
      <c r="M21" s="15"/>
      <c r="N21" s="27" t="n">
        <v>537.64</v>
      </c>
      <c r="O21" s="27" t="n">
        <v>406.04</v>
      </c>
      <c r="P21" s="27" t="n">
        <v>422.11</v>
      </c>
      <c r="Q21" s="27" t="n">
        <v>490.06</v>
      </c>
      <c r="R21" s="27" t="n">
        <v>376.22</v>
      </c>
      <c r="S21" s="27" t="n">
        <v>326.95</v>
      </c>
      <c r="T21" s="27" t="n">
        <v>537.64</v>
      </c>
      <c r="U21" s="27" t="n">
        <v>376.22</v>
      </c>
      <c r="V21" s="27" t="n">
        <v>376.22</v>
      </c>
      <c r="W21" s="27" t="n">
        <v>478.01</v>
      </c>
      <c r="X21" s="27" t="n">
        <v>406.04</v>
      </c>
      <c r="Y21" s="27" t="n">
        <v>376.22</v>
      </c>
    </row>
    <row r="22" customFormat="false" ht="14.25" hidden="false" customHeight="false" outlineLevel="0" collapsed="false">
      <c r="A22" s="24"/>
      <c r="B22" s="25" t="n">
        <f aca="false">F22*2.54</f>
        <v>263</v>
      </c>
      <c r="C22" s="25" t="n">
        <f aca="false">G22*2.54</f>
        <v>32</v>
      </c>
      <c r="D22" s="25" t="n">
        <f aca="false">H22*2.54</f>
        <v>25.9999999999999</v>
      </c>
      <c r="E22" s="25" t="n">
        <f aca="false">I22/2.2</f>
        <v>41.8</v>
      </c>
      <c r="F22" s="15" t="n">
        <v>103.543307086614</v>
      </c>
      <c r="G22" s="15" t="n">
        <v>12.5984251968504</v>
      </c>
      <c r="H22" s="15" t="n">
        <v>10.2362204724409</v>
      </c>
      <c r="I22" s="15" t="n">
        <v>91.96</v>
      </c>
      <c r="J22" s="15"/>
      <c r="K22" s="15"/>
      <c r="L22" s="15"/>
      <c r="M22" s="15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</row>
    <row r="23" customFormat="false" ht="14.25" hidden="false" customHeight="false" outlineLevel="0" collapsed="false">
      <c r="A23" s="24"/>
      <c r="B23" s="25" t="n">
        <f aca="false">F23*2.54</f>
        <v>285.999999999999</v>
      </c>
      <c r="C23" s="25" t="n">
        <f aca="false">G23*2.54</f>
        <v>37.9999999999999</v>
      </c>
      <c r="D23" s="25" t="n">
        <f aca="false">H23*2.54</f>
        <v>17</v>
      </c>
      <c r="E23" s="25" t="n">
        <f aca="false">I23/2.2</f>
        <v>29.4</v>
      </c>
      <c r="F23" s="15" t="n">
        <v>112.59842519685</v>
      </c>
      <c r="G23" s="15" t="n">
        <v>14.9606299212598</v>
      </c>
      <c r="H23" s="15" t="n">
        <v>6.69291338582677</v>
      </c>
      <c r="I23" s="15" t="n">
        <v>64.68</v>
      </c>
      <c r="J23" s="15"/>
      <c r="K23" s="15"/>
      <c r="L23" s="15"/>
      <c r="M23" s="15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</row>
    <row r="24" customFormat="false" ht="14.25" hidden="false" customHeight="false" outlineLevel="0" collapsed="false">
      <c r="A24" s="24"/>
      <c r="B24" s="25" t="n">
        <f aca="false">F24*2.54</f>
        <v>285.999999999999</v>
      </c>
      <c r="C24" s="25" t="n">
        <f aca="false">G24*2.54</f>
        <v>41.0000000000001</v>
      </c>
      <c r="D24" s="25" t="n">
        <f aca="false">H24*2.54</f>
        <v>17</v>
      </c>
      <c r="E24" s="25" t="n">
        <f aca="false">I24/2.2</f>
        <v>31.3</v>
      </c>
      <c r="F24" s="15" t="n">
        <v>112.59842519685</v>
      </c>
      <c r="G24" s="15" t="n">
        <v>16.1417322834646</v>
      </c>
      <c r="H24" s="15" t="n">
        <v>6.69291338582677</v>
      </c>
      <c r="I24" s="15" t="n">
        <v>68.86</v>
      </c>
      <c r="J24" s="15"/>
      <c r="K24" s="15"/>
      <c r="L24" s="15"/>
      <c r="M24" s="15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</row>
    <row r="25" customFormat="false" ht="14.25" hidden="false" customHeight="false" outlineLevel="0" collapsed="false">
      <c r="A25" s="24"/>
      <c r="B25" s="25" t="n">
        <f aca="false">F25*2.54</f>
        <v>144</v>
      </c>
      <c r="C25" s="25" t="n">
        <f aca="false">G25*2.54</f>
        <v>41.0000000000001</v>
      </c>
      <c r="D25" s="25" t="n">
        <f aca="false">H25*2.54</f>
        <v>23</v>
      </c>
      <c r="E25" s="25" t="n">
        <f aca="false">I25/2.2</f>
        <v>40</v>
      </c>
      <c r="F25" s="15" t="n">
        <v>56.6929133858268</v>
      </c>
      <c r="G25" s="15" t="n">
        <v>16.1417322834646</v>
      </c>
      <c r="H25" s="15" t="n">
        <v>9.05511811023622</v>
      </c>
      <c r="I25" s="15" t="n">
        <v>88</v>
      </c>
      <c r="J25" s="15"/>
      <c r="K25" s="15"/>
      <c r="L25" s="15"/>
      <c r="M25" s="15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</row>
    <row r="26" customFormat="false" ht="14.25" hidden="false" customHeight="false" outlineLevel="0" collapsed="false">
      <c r="A26" s="24"/>
      <c r="B26" s="25" t="n">
        <f aca="false">F26*2.54</f>
        <v>144</v>
      </c>
      <c r="C26" s="25" t="n">
        <f aca="false">G26*2.54</f>
        <v>41.0000000000001</v>
      </c>
      <c r="D26" s="25" t="n">
        <f aca="false">H26*2.54</f>
        <v>23</v>
      </c>
      <c r="E26" s="25" t="n">
        <f aca="false">I26/2.2</f>
        <v>40</v>
      </c>
      <c r="F26" s="15" t="n">
        <v>56.6929133858268</v>
      </c>
      <c r="G26" s="15" t="n">
        <v>16.1417322834646</v>
      </c>
      <c r="H26" s="15" t="n">
        <v>9.05511811023622</v>
      </c>
      <c r="I26" s="15" t="n">
        <v>88</v>
      </c>
      <c r="J26" s="15"/>
      <c r="K26" s="15"/>
      <c r="L26" s="15"/>
      <c r="M26" s="15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</row>
    <row r="27" customFormat="false" ht="18.75" hidden="false" customHeight="true" outlineLevel="0" collapsed="false">
      <c r="A27" s="18"/>
      <c r="F27" s="19" t="n">
        <v>113</v>
      </c>
      <c r="G27" s="19" t="n">
        <v>40</v>
      </c>
      <c r="H27" s="19" t="n">
        <v>60</v>
      </c>
      <c r="I27" s="19"/>
      <c r="J27" s="19" t="n">
        <v>480</v>
      </c>
      <c r="K27" s="1"/>
      <c r="L27" s="15"/>
      <c r="M27" s="21" t="s">
        <v>47</v>
      </c>
      <c r="N27" s="18"/>
      <c r="O27" s="18"/>
      <c r="P27" s="18"/>
      <c r="Q27" s="18"/>
      <c r="R27" s="18"/>
      <c r="S27" s="18"/>
      <c r="T27" s="28"/>
      <c r="U27" s="28"/>
      <c r="V27" s="28"/>
      <c r="W27" s="28"/>
      <c r="X27" s="28"/>
      <c r="Y27" s="28"/>
    </row>
    <row r="28" customFormat="false" ht="14.25" hidden="false" customHeight="true" outlineLevel="0" collapsed="false">
      <c r="A28" s="24"/>
      <c r="B28" s="25" t="n">
        <f aca="false">F28*2.54</f>
        <v>60</v>
      </c>
      <c r="C28" s="25" t="n">
        <f aca="false">G28*2.54</f>
        <v>45.0000000000001</v>
      </c>
      <c r="D28" s="25" t="n">
        <f aca="false">H28*2.54</f>
        <v>29.9999999999999</v>
      </c>
      <c r="E28" s="25" t="n">
        <f aca="false">I28/2.2</f>
        <v>11.2</v>
      </c>
      <c r="F28" s="15" t="n">
        <v>23.6220472440945</v>
      </c>
      <c r="G28" s="15" t="n">
        <v>17.7165354330709</v>
      </c>
      <c r="H28" s="15" t="n">
        <v>11.8110236220472</v>
      </c>
      <c r="I28" s="15" t="n">
        <v>24.64</v>
      </c>
      <c r="J28" s="15" t="n">
        <f aca="false">SUM(I28:I33)</f>
        <v>466.4</v>
      </c>
      <c r="K28" s="26" t="s">
        <v>51</v>
      </c>
      <c r="L28" s="15"/>
      <c r="M28" s="15"/>
      <c r="N28" s="27" t="n">
        <v>707.54</v>
      </c>
      <c r="O28" s="27" t="n">
        <v>553.52</v>
      </c>
      <c r="P28" s="27" t="n">
        <v>553.52</v>
      </c>
      <c r="Q28" s="27" t="n">
        <v>655.28</v>
      </c>
      <c r="R28" s="27" t="n">
        <v>523.69</v>
      </c>
      <c r="S28" s="27" t="n">
        <v>473.96</v>
      </c>
      <c r="T28" s="27" t="n">
        <v>707.54</v>
      </c>
      <c r="U28" s="27" t="n">
        <v>513.74</v>
      </c>
      <c r="V28" s="27" t="n">
        <v>493.87</v>
      </c>
      <c r="W28" s="27" t="n">
        <v>639.2</v>
      </c>
      <c r="X28" s="27" t="n">
        <v>553.52</v>
      </c>
      <c r="Y28" s="27" t="n">
        <v>493.87</v>
      </c>
    </row>
    <row r="29" customFormat="false" ht="14.25" hidden="false" customHeight="false" outlineLevel="0" collapsed="false">
      <c r="A29" s="24"/>
      <c r="B29" s="25" t="n">
        <f aca="false">F29*2.54</f>
        <v>344.999999999999</v>
      </c>
      <c r="C29" s="25" t="n">
        <f aca="false">G29*2.54</f>
        <v>29.9999999999999</v>
      </c>
      <c r="D29" s="25" t="n">
        <f aca="false">H29*2.54</f>
        <v>16.5</v>
      </c>
      <c r="E29" s="25" t="n">
        <f aca="false">I29/2.2</f>
        <v>30</v>
      </c>
      <c r="F29" s="15" t="n">
        <v>135.826771653543</v>
      </c>
      <c r="G29" s="15" t="n">
        <v>11.8110236220472</v>
      </c>
      <c r="H29" s="15" t="n">
        <v>6.49606299212598</v>
      </c>
      <c r="I29" s="15" t="n">
        <v>66</v>
      </c>
      <c r="J29" s="15"/>
      <c r="K29" s="15"/>
      <c r="L29" s="15"/>
      <c r="M29" s="15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</row>
    <row r="30" customFormat="false" ht="14.25" hidden="false" customHeight="false" outlineLevel="0" collapsed="false">
      <c r="A30" s="24"/>
      <c r="B30" s="25" t="n">
        <f aca="false">F30*2.54</f>
        <v>285.999999999999</v>
      </c>
      <c r="C30" s="25" t="n">
        <f aca="false">G30*2.54</f>
        <v>41.0000000000001</v>
      </c>
      <c r="D30" s="25" t="n">
        <f aca="false">H30*2.54</f>
        <v>17</v>
      </c>
      <c r="E30" s="25" t="n">
        <f aca="false">I30/2.2</f>
        <v>30</v>
      </c>
      <c r="F30" s="15" t="n">
        <v>112.59842519685</v>
      </c>
      <c r="G30" s="15" t="n">
        <v>16.1417322834646</v>
      </c>
      <c r="H30" s="15" t="n">
        <v>6.69291338582677</v>
      </c>
      <c r="I30" s="15" t="n">
        <v>66</v>
      </c>
      <c r="J30" s="15"/>
      <c r="K30" s="15"/>
      <c r="L30" s="15"/>
      <c r="M30" s="15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</row>
    <row r="31" customFormat="false" ht="14.25" hidden="false" customHeight="false" outlineLevel="0" collapsed="false">
      <c r="A31" s="24"/>
      <c r="B31" s="25" t="n">
        <f aca="false">F31*2.54</f>
        <v>176</v>
      </c>
      <c r="C31" s="25" t="n">
        <f aca="false">G31*2.54</f>
        <v>41.0000000000001</v>
      </c>
      <c r="D31" s="25" t="n">
        <f aca="false">H31*2.54</f>
        <v>23</v>
      </c>
      <c r="E31" s="25" t="n">
        <f aca="false">I31/2.2</f>
        <v>48.9</v>
      </c>
      <c r="F31" s="15" t="n">
        <v>69.2913385826772</v>
      </c>
      <c r="G31" s="15" t="n">
        <v>16.1417322834646</v>
      </c>
      <c r="H31" s="15" t="n">
        <v>9.05511811023622</v>
      </c>
      <c r="I31" s="15" t="n">
        <v>107.58</v>
      </c>
      <c r="J31" s="15"/>
      <c r="K31" s="15"/>
      <c r="L31" s="15"/>
      <c r="M31" s="15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customFormat="false" ht="14.25" hidden="false" customHeight="false" outlineLevel="0" collapsed="false">
      <c r="A32" s="24"/>
      <c r="B32" s="25" t="n">
        <f aca="false">F32*2.54</f>
        <v>176</v>
      </c>
      <c r="C32" s="25" t="n">
        <f aca="false">G32*2.54</f>
        <v>41.0000000000001</v>
      </c>
      <c r="D32" s="25" t="n">
        <f aca="false">H32*2.54</f>
        <v>23</v>
      </c>
      <c r="E32" s="25" t="n">
        <f aca="false">I32/2.2</f>
        <v>48.9</v>
      </c>
      <c r="F32" s="15" t="n">
        <v>69.2913385826772</v>
      </c>
      <c r="G32" s="15" t="n">
        <v>16.1417322834646</v>
      </c>
      <c r="H32" s="15" t="n">
        <v>9.05511811023622</v>
      </c>
      <c r="I32" s="15" t="n">
        <v>107.58</v>
      </c>
      <c r="J32" s="15"/>
      <c r="K32" s="15"/>
      <c r="L32" s="15"/>
      <c r="M32" s="15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customFormat="false" ht="14.25" hidden="false" customHeight="false" outlineLevel="0" collapsed="false">
      <c r="A33" s="24"/>
      <c r="B33" s="25" t="n">
        <f aca="false">F33*2.54</f>
        <v>263</v>
      </c>
      <c r="C33" s="25" t="n">
        <f aca="false">G33*2.54</f>
        <v>32</v>
      </c>
      <c r="D33" s="25" t="n">
        <f aca="false">H33*2.54</f>
        <v>25</v>
      </c>
      <c r="E33" s="25" t="n">
        <f aca="false">I33/2.2</f>
        <v>43</v>
      </c>
      <c r="F33" s="15" t="n">
        <v>103.543307086614</v>
      </c>
      <c r="G33" s="15" t="n">
        <v>12.5984251968504</v>
      </c>
      <c r="H33" s="15" t="n">
        <v>9.84251968503937</v>
      </c>
      <c r="I33" s="15" t="n">
        <v>94.6</v>
      </c>
      <c r="J33" s="15"/>
      <c r="K33" s="15"/>
      <c r="L33" s="15"/>
      <c r="M33" s="15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customFormat="false" ht="18.75" hidden="false" customHeight="true" outlineLevel="0" collapsed="false">
      <c r="A34" s="29"/>
      <c r="F34" s="30" t="n">
        <v>136</v>
      </c>
      <c r="G34" s="30" t="n">
        <v>40</v>
      </c>
      <c r="H34" s="30" t="n">
        <v>59</v>
      </c>
      <c r="I34" s="30"/>
      <c r="J34" s="30" t="n">
        <v>521</v>
      </c>
      <c r="M34" s="21" t="s">
        <v>47</v>
      </c>
      <c r="N34" s="29"/>
      <c r="O34" s="29"/>
      <c r="P34" s="29"/>
      <c r="Q34" s="29"/>
      <c r="R34" s="29"/>
      <c r="S34" s="29"/>
      <c r="T34" s="31"/>
      <c r="U34" s="31"/>
      <c r="V34" s="31"/>
      <c r="W34" s="31"/>
      <c r="X34" s="31"/>
      <c r="Y34" s="31"/>
    </row>
    <row r="35" customFormat="false" ht="14.25" hidden="false" customHeight="true" outlineLevel="0" collapsed="false">
      <c r="A35" s="24"/>
      <c r="B35" s="25" t="n">
        <f aca="false">F35*2.54</f>
        <v>286.000009152</v>
      </c>
      <c r="C35" s="25" t="n">
        <f aca="false">G35*2.54</f>
        <v>38.000001216</v>
      </c>
      <c r="D35" s="25" t="n">
        <f aca="false">H35*2.54</f>
        <v>28.000000896</v>
      </c>
      <c r="E35" s="25" t="n">
        <f aca="false">I35/2.2</f>
        <v>71.1491839090909</v>
      </c>
      <c r="F35" s="15" t="n">
        <v>112.5984288</v>
      </c>
      <c r="G35" s="15" t="n">
        <v>14.9606304</v>
      </c>
      <c r="H35" s="15" t="n">
        <v>11.0236224</v>
      </c>
      <c r="I35" s="15" t="n">
        <v>156.5282046</v>
      </c>
      <c r="J35" s="15" t="n">
        <f aca="false">SUM(I35:I38)</f>
        <v>392.4228228</v>
      </c>
      <c r="K35" s="26" t="s">
        <v>52</v>
      </c>
      <c r="L35" s="15"/>
      <c r="M35" s="15"/>
      <c r="N35" s="27" t="n">
        <v>603.25</v>
      </c>
      <c r="O35" s="27" t="n">
        <v>406.04</v>
      </c>
      <c r="P35" s="27" t="n">
        <v>435.87</v>
      </c>
      <c r="Q35" s="27" t="n">
        <v>583.36</v>
      </c>
      <c r="R35" s="27" t="n">
        <v>376.22</v>
      </c>
      <c r="S35" s="27" t="n">
        <v>356.31</v>
      </c>
      <c r="T35" s="27" t="n">
        <v>593.29</v>
      </c>
      <c r="U35" s="27" t="n">
        <v>376.22</v>
      </c>
      <c r="V35" s="27" t="n">
        <v>376.22</v>
      </c>
      <c r="W35" s="27" t="n">
        <v>523.69</v>
      </c>
      <c r="X35" s="27" t="n">
        <v>406.04</v>
      </c>
      <c r="Y35" s="27" t="n">
        <v>376.22</v>
      </c>
    </row>
    <row r="36" customFormat="false" ht="14.25" hidden="false" customHeight="false" outlineLevel="0" collapsed="false">
      <c r="A36" s="24"/>
      <c r="B36" s="25" t="n">
        <f aca="false">F36*2.54</f>
        <v>309.000009888</v>
      </c>
      <c r="C36" s="25" t="n">
        <f aca="false">G36*2.54</f>
        <v>27.000000864</v>
      </c>
      <c r="D36" s="25" t="n">
        <f aca="false">H36*2.54</f>
        <v>32.000001024</v>
      </c>
      <c r="E36" s="25" t="n">
        <f aca="false">I36/2.2</f>
        <v>41.0861484545455</v>
      </c>
      <c r="F36" s="15" t="n">
        <v>121.6535472</v>
      </c>
      <c r="G36" s="15" t="n">
        <v>10.6299216</v>
      </c>
      <c r="H36" s="15" t="n">
        <v>12.5984256</v>
      </c>
      <c r="I36" s="15" t="n">
        <v>90.3895266</v>
      </c>
      <c r="J36" s="15"/>
      <c r="K36" s="15"/>
      <c r="L36" s="15"/>
      <c r="M36" s="15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customFormat="false" ht="14.25" hidden="false" customHeight="false" outlineLevel="0" collapsed="false">
      <c r="A37" s="24"/>
      <c r="B37" s="25" t="n">
        <f aca="false">F37*2.54</f>
        <v>233.000007456</v>
      </c>
      <c r="C37" s="25" t="n">
        <f aca="false">G37*2.54</f>
        <v>27.000000864</v>
      </c>
      <c r="D37" s="25" t="n">
        <f aca="false">H37*2.54</f>
        <v>25.0000008</v>
      </c>
      <c r="E37" s="25" t="n">
        <f aca="false">I37/2.2</f>
        <v>21.0441248181818</v>
      </c>
      <c r="F37" s="15" t="n">
        <v>91.7322864</v>
      </c>
      <c r="G37" s="15" t="n">
        <v>10.6299216</v>
      </c>
      <c r="H37" s="15" t="n">
        <v>9.84252</v>
      </c>
      <c r="I37" s="15" t="n">
        <v>46.2970746</v>
      </c>
      <c r="J37" s="15"/>
      <c r="K37" s="15"/>
      <c r="L37" s="15"/>
      <c r="M37" s="15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customFormat="false" ht="14.25" hidden="false" customHeight="false" outlineLevel="0" collapsed="false">
      <c r="A38" s="24"/>
      <c r="B38" s="25" t="n">
        <f aca="false">F38*2.54</f>
        <v>277.000008864</v>
      </c>
      <c r="C38" s="25" t="n">
        <f aca="false">G38*2.54</f>
        <v>17.000000544</v>
      </c>
      <c r="D38" s="25" t="n">
        <f aca="false">H38*2.54</f>
        <v>16.000000512</v>
      </c>
      <c r="E38" s="25" t="n">
        <f aca="false">I38/2.2</f>
        <v>45.0945531818182</v>
      </c>
      <c r="F38" s="15" t="n">
        <v>109.0551216</v>
      </c>
      <c r="G38" s="15" t="n">
        <v>6.6929136</v>
      </c>
      <c r="H38" s="15" t="n">
        <v>6.2992128</v>
      </c>
      <c r="I38" s="15" t="n">
        <v>99.208017</v>
      </c>
      <c r="J38" s="15"/>
      <c r="K38" s="15"/>
      <c r="L38" s="15"/>
      <c r="M38" s="15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customFormat="false" ht="18.75" hidden="false" customHeight="true" outlineLevel="0" collapsed="false">
      <c r="A39" s="29"/>
      <c r="F39" s="19" t="n">
        <v>122</v>
      </c>
      <c r="G39" s="19" t="n">
        <v>40</v>
      </c>
      <c r="H39" s="19" t="n">
        <v>46</v>
      </c>
      <c r="I39" s="19"/>
      <c r="J39" s="19" t="n">
        <v>447</v>
      </c>
      <c r="K39" s="1"/>
      <c r="L39" s="15"/>
      <c r="M39" s="21" t="s">
        <v>47</v>
      </c>
      <c r="N39" s="29"/>
      <c r="O39" s="29"/>
      <c r="P39" s="29"/>
      <c r="Q39" s="29"/>
      <c r="R39" s="29"/>
      <c r="S39" s="29"/>
      <c r="T39" s="31"/>
      <c r="U39" s="31"/>
      <c r="V39" s="31"/>
      <c r="W39" s="31"/>
      <c r="X39" s="31"/>
      <c r="Y39" s="31"/>
    </row>
    <row r="40" customFormat="false" ht="14.25" hidden="false" customHeight="true" outlineLevel="0" collapsed="false">
      <c r="A40" s="32"/>
      <c r="B40" s="25" t="n">
        <f aca="false">F40*2.54</f>
        <v>286.000009152</v>
      </c>
      <c r="C40" s="25" t="n">
        <f aca="false">G40*2.54</f>
        <v>38.000001216</v>
      </c>
      <c r="D40" s="25" t="n">
        <f aca="false">H40*2.54</f>
        <v>20.00000064</v>
      </c>
      <c r="E40" s="25" t="n">
        <f aca="false">I40/2.2</f>
        <v>45.0945531818182</v>
      </c>
      <c r="F40" s="15" t="n">
        <v>112.5984288</v>
      </c>
      <c r="G40" s="15" t="n">
        <v>14.9606304</v>
      </c>
      <c r="H40" s="15" t="n">
        <v>7.874016</v>
      </c>
      <c r="I40" s="15" t="n">
        <v>99.208017</v>
      </c>
      <c r="J40" s="15" t="n">
        <f aca="false">SUM(I40:I44)</f>
        <v>451.947633</v>
      </c>
      <c r="K40" s="26" t="s">
        <v>53</v>
      </c>
      <c r="L40" s="15"/>
      <c r="M40" s="15"/>
      <c r="N40" s="32" t="n">
        <v>687.2</v>
      </c>
      <c r="O40" s="32" t="n">
        <v>553.52</v>
      </c>
      <c r="P40" s="32" t="n">
        <v>553.52</v>
      </c>
      <c r="Q40" s="32" t="n">
        <v>636.83</v>
      </c>
      <c r="R40" s="32" t="n">
        <v>523.69</v>
      </c>
      <c r="S40" s="32" t="n">
        <v>464.16</v>
      </c>
      <c r="T40" s="32" t="n">
        <v>687.2</v>
      </c>
      <c r="U40" s="32" t="n">
        <v>513.74</v>
      </c>
      <c r="V40" s="32" t="n">
        <v>493.87</v>
      </c>
      <c r="W40" s="32" t="n">
        <v>622.38</v>
      </c>
      <c r="X40" s="32" t="n">
        <v>553.52</v>
      </c>
      <c r="Y40" s="32" t="n">
        <v>493.87</v>
      </c>
    </row>
    <row r="41" customFormat="false" ht="14.25" hidden="false" customHeight="false" outlineLevel="0" collapsed="false">
      <c r="A41" s="32"/>
      <c r="B41" s="25" t="n">
        <f aca="false">F41*2.54</f>
        <v>286.000009152</v>
      </c>
      <c r="C41" s="25" t="n">
        <f aca="false">G41*2.54</f>
        <v>38.000001216</v>
      </c>
      <c r="D41" s="25" t="n">
        <f aca="false">H41*2.54</f>
        <v>20.00000064</v>
      </c>
      <c r="E41" s="25" t="n">
        <f aca="false">I41/2.2</f>
        <v>45.0945531818182</v>
      </c>
      <c r="F41" s="15" t="n">
        <v>112.5984288</v>
      </c>
      <c r="G41" s="15" t="n">
        <v>14.9606304</v>
      </c>
      <c r="H41" s="15" t="n">
        <v>7.874016</v>
      </c>
      <c r="I41" s="15" t="n">
        <v>99.208017</v>
      </c>
      <c r="J41" s="15"/>
      <c r="K41" s="15"/>
      <c r="L41" s="15"/>
      <c r="M41" s="15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</row>
    <row r="42" customFormat="false" ht="14.25" hidden="false" customHeight="false" outlineLevel="0" collapsed="false">
      <c r="A42" s="32"/>
      <c r="B42" s="25" t="n">
        <f aca="false">F42*2.54</f>
        <v>365.00001168</v>
      </c>
      <c r="C42" s="25" t="n">
        <f aca="false">G42*2.54</f>
        <v>27.000000864</v>
      </c>
      <c r="D42" s="25" t="n">
        <f aca="false">H42*2.54</f>
        <v>32.000001024</v>
      </c>
      <c r="E42" s="25" t="n">
        <f aca="false">I42/2.2</f>
        <v>44.092452</v>
      </c>
      <c r="F42" s="15" t="n">
        <v>143.700792</v>
      </c>
      <c r="G42" s="15" t="n">
        <v>10.6299216</v>
      </c>
      <c r="H42" s="15" t="n">
        <v>12.5984256</v>
      </c>
      <c r="I42" s="15" t="n">
        <v>97.0033944</v>
      </c>
      <c r="J42" s="15"/>
      <c r="K42" s="15"/>
      <c r="L42" s="15"/>
      <c r="M42" s="15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</row>
    <row r="43" customFormat="false" ht="14.25" hidden="false" customHeight="false" outlineLevel="0" collapsed="false">
      <c r="A43" s="32"/>
      <c r="B43" s="25" t="n">
        <f aca="false">F43*2.54</f>
        <v>233.000007456</v>
      </c>
      <c r="C43" s="25" t="n">
        <f aca="false">G43*2.54</f>
        <v>27.000000864</v>
      </c>
      <c r="D43" s="25" t="n">
        <f aca="false">H43*2.54</f>
        <v>25.0000008</v>
      </c>
      <c r="E43" s="25" t="n">
        <f aca="false">I43/2.2</f>
        <v>21.0441248181818</v>
      </c>
      <c r="F43" s="15" t="n">
        <v>91.7322864</v>
      </c>
      <c r="G43" s="15" t="n">
        <v>10.6299216</v>
      </c>
      <c r="H43" s="15" t="n">
        <v>9.84252</v>
      </c>
      <c r="I43" s="15" t="n">
        <v>46.2970746</v>
      </c>
      <c r="J43" s="15"/>
      <c r="K43" s="15"/>
      <c r="L43" s="15"/>
      <c r="M43" s="15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</row>
    <row r="44" customFormat="false" ht="14.25" hidden="false" customHeight="false" outlineLevel="0" collapsed="false">
      <c r="A44" s="32"/>
      <c r="B44" s="25" t="n">
        <f aca="false">F44*2.54</f>
        <v>339.000010848</v>
      </c>
      <c r="C44" s="25" t="n">
        <f aca="false">G44*2.54</f>
        <v>17.000000544</v>
      </c>
      <c r="D44" s="25" t="n">
        <f aca="false">H44*2.54</f>
        <v>16.000000512</v>
      </c>
      <c r="E44" s="25" t="n">
        <f aca="false">I44/2.2</f>
        <v>50.1050590909091</v>
      </c>
      <c r="F44" s="15" t="n">
        <v>133.4645712</v>
      </c>
      <c r="G44" s="15" t="n">
        <v>6.6929136</v>
      </c>
      <c r="H44" s="15" t="n">
        <v>6.2992128</v>
      </c>
      <c r="I44" s="15" t="n">
        <v>110.23113</v>
      </c>
      <c r="J44" s="15"/>
      <c r="K44" s="15"/>
      <c r="L44" s="15"/>
      <c r="M44" s="15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</row>
    <row r="45" customFormat="false" ht="14.25" hidden="false" customHeight="false" outlineLevel="0" collapsed="false">
      <c r="A45" s="31"/>
      <c r="F45" s="19" t="n">
        <v>144</v>
      </c>
      <c r="G45" s="19" t="n">
        <v>40</v>
      </c>
      <c r="H45" s="19" t="n">
        <v>51</v>
      </c>
      <c r="I45" s="19"/>
      <c r="J45" s="19" t="n">
        <v>507</v>
      </c>
      <c r="K45" s="1"/>
      <c r="L45" s="15"/>
      <c r="M45" s="21" t="s">
        <v>47</v>
      </c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customFormat="false" ht="14.25" hidden="false" customHeight="true" outlineLevel="0" collapsed="false">
      <c r="A46" s="32"/>
      <c r="B46" s="25" t="n">
        <f aca="false">F46*2.54</f>
        <v>286.000009152</v>
      </c>
      <c r="C46" s="25" t="n">
        <f aca="false">G46*2.54</f>
        <v>38.000001216</v>
      </c>
      <c r="D46" s="25" t="n">
        <f aca="false">H46*2.54</f>
        <v>28.000000896</v>
      </c>
      <c r="E46" s="25" t="n">
        <f aca="false">I46/2.2</f>
        <v>71.1491839090909</v>
      </c>
      <c r="F46" s="15" t="n">
        <v>112.5984288</v>
      </c>
      <c r="G46" s="15" t="n">
        <v>14.9606304</v>
      </c>
      <c r="H46" s="15" t="n">
        <v>11.0236224</v>
      </c>
      <c r="I46" s="15" t="n">
        <v>156.5282046</v>
      </c>
      <c r="J46" s="15" t="n">
        <f aca="false">SUM(I46:I50)</f>
        <v>650.363667</v>
      </c>
      <c r="K46" s="26" t="s">
        <v>54</v>
      </c>
      <c r="L46" s="15"/>
      <c r="M46" s="15"/>
      <c r="N46" s="32" t="n">
        <v>615.76</v>
      </c>
      <c r="O46" s="32" t="n">
        <v>435.87</v>
      </c>
      <c r="P46" s="32" t="n">
        <v>435.87</v>
      </c>
      <c r="Q46" s="32" t="n">
        <v>583.36</v>
      </c>
      <c r="R46" s="32" t="n">
        <v>406.04</v>
      </c>
      <c r="S46" s="32" t="n">
        <v>356.31</v>
      </c>
      <c r="T46" s="32" t="n">
        <v>593.29</v>
      </c>
      <c r="U46" s="32" t="n">
        <v>396.09</v>
      </c>
      <c r="V46" s="32" t="n">
        <v>376.22</v>
      </c>
      <c r="W46" s="32" t="n">
        <v>523.69</v>
      </c>
      <c r="X46" s="32" t="n">
        <v>435.87</v>
      </c>
      <c r="Y46" s="32" t="n">
        <v>376.22</v>
      </c>
    </row>
    <row r="47" customFormat="false" ht="14.25" hidden="false" customHeight="false" outlineLevel="0" collapsed="false">
      <c r="A47" s="32"/>
      <c r="B47" s="25" t="n">
        <f aca="false">F47*2.54</f>
        <v>286.000009152</v>
      </c>
      <c r="C47" s="25" t="n">
        <f aca="false">G47*2.54</f>
        <v>38.000001216</v>
      </c>
      <c r="D47" s="25" t="n">
        <f aca="false">H47*2.54</f>
        <v>28.000000896</v>
      </c>
      <c r="E47" s="25" t="n">
        <f aca="false">I47/2.2</f>
        <v>71.1491839090909</v>
      </c>
      <c r="F47" s="15" t="n">
        <v>112.5984288</v>
      </c>
      <c r="G47" s="15" t="n">
        <v>14.9606304</v>
      </c>
      <c r="H47" s="15" t="n">
        <v>11.0236224</v>
      </c>
      <c r="I47" s="15" t="n">
        <v>156.5282046</v>
      </c>
      <c r="J47" s="15"/>
      <c r="K47" s="15"/>
      <c r="L47" s="15"/>
      <c r="M47" s="15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</row>
    <row r="48" customFormat="false" ht="14.25" hidden="false" customHeight="false" outlineLevel="0" collapsed="false">
      <c r="A48" s="32"/>
      <c r="B48" s="25" t="n">
        <f aca="false">F48*2.54</f>
        <v>305.00000976</v>
      </c>
      <c r="C48" s="25" t="n">
        <f aca="false">G48*2.54</f>
        <v>35.00000112</v>
      </c>
      <c r="D48" s="25" t="n">
        <f aca="false">H48*2.54</f>
        <v>32.000001024</v>
      </c>
      <c r="E48" s="25" t="n">
        <f aca="false">I48/2.2</f>
        <v>57.1197673636364</v>
      </c>
      <c r="F48" s="15" t="n">
        <v>120.078744</v>
      </c>
      <c r="G48" s="15" t="n">
        <v>13.779528</v>
      </c>
      <c r="H48" s="15" t="n">
        <v>12.5984256</v>
      </c>
      <c r="I48" s="15" t="n">
        <v>125.6634882</v>
      </c>
      <c r="J48" s="15"/>
      <c r="K48" s="15"/>
      <c r="L48" s="15"/>
      <c r="M48" s="15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</row>
    <row r="49" customFormat="false" ht="14.25" hidden="false" customHeight="false" outlineLevel="0" collapsed="false">
      <c r="A49" s="32"/>
      <c r="B49" s="25" t="n">
        <f aca="false">F49*2.54</f>
        <v>233.000007456</v>
      </c>
      <c r="C49" s="25" t="n">
        <f aca="false">G49*2.54</f>
        <v>38.000001216</v>
      </c>
      <c r="D49" s="25" t="n">
        <f aca="false">H49*2.54</f>
        <v>25.0000008</v>
      </c>
      <c r="E49" s="25" t="n">
        <f aca="false">I49/2.2</f>
        <v>31.0651366363636</v>
      </c>
      <c r="F49" s="15" t="n">
        <v>91.7322864</v>
      </c>
      <c r="G49" s="15" t="n">
        <v>14.9606304</v>
      </c>
      <c r="H49" s="15" t="n">
        <v>9.84252</v>
      </c>
      <c r="I49" s="15" t="n">
        <v>68.3433006</v>
      </c>
      <c r="J49" s="15"/>
      <c r="K49" s="15"/>
      <c r="L49" s="15"/>
      <c r="M49" s="15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</row>
    <row r="50" customFormat="false" ht="14.25" hidden="false" customHeight="false" outlineLevel="0" collapsed="false">
      <c r="A50" s="32"/>
      <c r="B50" s="25" t="n">
        <f aca="false">F50*2.54</f>
        <v>227.000007264</v>
      </c>
      <c r="C50" s="25" t="n">
        <f aca="false">G50*2.54</f>
        <v>24.000000768</v>
      </c>
      <c r="D50" s="25" t="n">
        <f aca="false">H50*2.54</f>
        <v>20.00000064</v>
      </c>
      <c r="E50" s="25" t="n">
        <f aca="false">I50/2.2</f>
        <v>65.1365768181818</v>
      </c>
      <c r="F50" s="15" t="n">
        <v>89.3700816</v>
      </c>
      <c r="G50" s="15" t="n">
        <v>9.4488192</v>
      </c>
      <c r="H50" s="15" t="n">
        <v>7.874016</v>
      </c>
      <c r="I50" s="15" t="n">
        <v>143.300469</v>
      </c>
      <c r="J50" s="15"/>
      <c r="K50" s="15"/>
      <c r="L50" s="15"/>
      <c r="M50" s="15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</row>
    <row r="51" customFormat="false" ht="18.75" hidden="false" customHeight="true" outlineLevel="0" collapsed="false">
      <c r="A51" s="29"/>
      <c r="F51" s="19" t="n">
        <v>120</v>
      </c>
      <c r="G51" s="19" t="n">
        <v>40</v>
      </c>
      <c r="H51" s="19" t="n">
        <v>59</v>
      </c>
      <c r="I51" s="19"/>
      <c r="J51" s="19" t="n">
        <v>705</v>
      </c>
      <c r="K51" s="1"/>
      <c r="L51" s="15"/>
      <c r="M51" s="21" t="s">
        <v>47</v>
      </c>
      <c r="N51" s="29"/>
      <c r="O51" s="29"/>
      <c r="P51" s="29"/>
      <c r="Q51" s="29"/>
      <c r="R51" s="29"/>
      <c r="S51" s="29"/>
      <c r="T51" s="31"/>
      <c r="U51" s="31"/>
      <c r="V51" s="31"/>
      <c r="W51" s="31"/>
      <c r="X51" s="31"/>
      <c r="Y51" s="31"/>
    </row>
    <row r="52" customFormat="false" ht="14.25" hidden="false" customHeight="true" outlineLevel="0" collapsed="false">
      <c r="A52" s="32"/>
      <c r="B52" s="25" t="n">
        <f aca="false">F52*2.54</f>
        <v>348.000011136</v>
      </c>
      <c r="C52" s="25" t="n">
        <f aca="false">G52*2.54</f>
        <v>38.000001216</v>
      </c>
      <c r="D52" s="25" t="n">
        <f aca="false">H52*2.54</f>
        <v>28.000000896</v>
      </c>
      <c r="E52" s="25" t="n">
        <f aca="false">I52/2.2</f>
        <v>87.1828028181818</v>
      </c>
      <c r="F52" s="15" t="n">
        <v>137.0078784</v>
      </c>
      <c r="G52" s="15" t="n">
        <v>14.9606304</v>
      </c>
      <c r="H52" s="15" t="n">
        <v>11.0236224</v>
      </c>
      <c r="I52" s="15" t="n">
        <v>191.8021662</v>
      </c>
      <c r="J52" s="15" t="n">
        <f aca="false">SUM(I52:I56)</f>
        <v>740.7531936</v>
      </c>
      <c r="K52" s="26" t="s">
        <v>54</v>
      </c>
      <c r="L52" s="15"/>
      <c r="M52" s="15"/>
      <c r="N52" s="32" t="n">
        <v>765.8</v>
      </c>
      <c r="O52" s="32" t="n">
        <v>553.52</v>
      </c>
      <c r="P52" s="32" t="n">
        <v>553.52</v>
      </c>
      <c r="Q52" s="32" t="n">
        <v>701.01</v>
      </c>
      <c r="R52" s="32" t="n">
        <v>523.69</v>
      </c>
      <c r="S52" s="32" t="n">
        <v>473.96</v>
      </c>
      <c r="T52" s="32" t="n">
        <v>710.94</v>
      </c>
      <c r="U52" s="32" t="n">
        <v>513.74</v>
      </c>
      <c r="V52" s="32" t="n">
        <v>493.87</v>
      </c>
      <c r="W52" s="32" t="n">
        <v>641.34</v>
      </c>
      <c r="X52" s="32" t="n">
        <v>553.52</v>
      </c>
      <c r="Y52" s="32" t="n">
        <v>493.87</v>
      </c>
    </row>
    <row r="53" customFormat="false" ht="14.25" hidden="false" customHeight="false" outlineLevel="0" collapsed="false">
      <c r="A53" s="32"/>
      <c r="B53" s="25" t="n">
        <f aca="false">F53*2.54</f>
        <v>348.000011136</v>
      </c>
      <c r="C53" s="25" t="n">
        <f aca="false">G53*2.54</f>
        <v>38.000001216</v>
      </c>
      <c r="D53" s="25" t="n">
        <f aca="false">H53*2.54</f>
        <v>28.000000896</v>
      </c>
      <c r="E53" s="25" t="n">
        <f aca="false">I53/2.2</f>
        <v>87.1828028181818</v>
      </c>
      <c r="F53" s="15" t="n">
        <v>137.0078784</v>
      </c>
      <c r="G53" s="15" t="n">
        <v>14.9606304</v>
      </c>
      <c r="H53" s="15" t="n">
        <v>11.0236224</v>
      </c>
      <c r="I53" s="15" t="n">
        <v>191.8021662</v>
      </c>
      <c r="J53" s="15"/>
      <c r="K53" s="15"/>
      <c r="L53" s="15"/>
      <c r="M53" s="15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</row>
    <row r="54" customFormat="false" ht="14.25" hidden="false" customHeight="false" outlineLevel="0" collapsed="false">
      <c r="A54" s="32"/>
      <c r="B54" s="25" t="n">
        <f aca="false">F54*2.54</f>
        <v>352.000011264</v>
      </c>
      <c r="C54" s="25" t="n">
        <f aca="false">G54*2.54</f>
        <v>35.00000112</v>
      </c>
      <c r="D54" s="25" t="n">
        <f aca="false">H54*2.54</f>
        <v>22.000000704</v>
      </c>
      <c r="E54" s="25" t="n">
        <f aca="false">I54/2.2</f>
        <v>61.1281720909091</v>
      </c>
      <c r="F54" s="15" t="n">
        <v>138.5826816</v>
      </c>
      <c r="G54" s="15" t="n">
        <v>13.779528</v>
      </c>
      <c r="H54" s="15" t="n">
        <v>8.6614176</v>
      </c>
      <c r="I54" s="15" t="n">
        <v>134.4819786</v>
      </c>
      <c r="J54" s="15"/>
      <c r="K54" s="15"/>
      <c r="L54" s="15"/>
      <c r="M54" s="15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</row>
    <row r="55" customFormat="false" ht="14.25" hidden="false" customHeight="false" outlineLevel="0" collapsed="false">
      <c r="A55" s="32"/>
      <c r="B55" s="25" t="n">
        <f aca="false">F55*2.54</f>
        <v>233.000007456</v>
      </c>
      <c r="C55" s="25" t="n">
        <f aca="false">G55*2.54</f>
        <v>38.000001216</v>
      </c>
      <c r="D55" s="25" t="n">
        <f aca="false">H55*2.54</f>
        <v>25.0000008</v>
      </c>
      <c r="E55" s="25" t="n">
        <f aca="false">I55/2.2</f>
        <v>31.0651366363636</v>
      </c>
      <c r="F55" s="15" t="n">
        <v>91.7322864</v>
      </c>
      <c r="G55" s="15" t="n">
        <v>14.9606304</v>
      </c>
      <c r="H55" s="15" t="n">
        <v>9.84252</v>
      </c>
      <c r="I55" s="15" t="n">
        <v>68.3433006</v>
      </c>
      <c r="J55" s="15"/>
      <c r="K55" s="15"/>
      <c r="L55" s="15"/>
      <c r="M55" s="15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</row>
    <row r="56" customFormat="false" ht="14.25" hidden="false" customHeight="false" outlineLevel="0" collapsed="false">
      <c r="A56" s="32"/>
      <c r="B56" s="25" t="n">
        <f aca="false">F56*2.54</f>
        <v>339.000010848</v>
      </c>
      <c r="C56" s="25" t="n">
        <f aca="false">G56*2.54</f>
        <v>24.000000768</v>
      </c>
      <c r="D56" s="25" t="n">
        <f aca="false">H56*2.54</f>
        <v>20.00000064</v>
      </c>
      <c r="E56" s="25" t="n">
        <f aca="false">I56/2.2</f>
        <v>70.1470827272727</v>
      </c>
      <c r="F56" s="15" t="n">
        <v>133.4645712</v>
      </c>
      <c r="G56" s="15" t="n">
        <v>9.4488192</v>
      </c>
      <c r="H56" s="15" t="n">
        <v>7.874016</v>
      </c>
      <c r="I56" s="15" t="n">
        <v>154.323582</v>
      </c>
      <c r="J56" s="15"/>
      <c r="K56" s="15"/>
      <c r="L56" s="15"/>
      <c r="M56" s="15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</row>
    <row r="57" customFormat="false" ht="14.25" hidden="false" customHeight="false" outlineLevel="0" collapsed="false">
      <c r="F57" s="33"/>
      <c r="G57" s="30"/>
      <c r="H57" s="30"/>
      <c r="I57" s="30"/>
      <c r="J57" s="30"/>
      <c r="M57" s="21" t="s">
        <v>47</v>
      </c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customFormat="false" ht="14.25" hidden="false" customHeight="false" outlineLevel="0" collapsed="false">
      <c r="A58" s="32"/>
      <c r="B58" s="25" t="n">
        <f aca="false">F58*2.54</f>
        <v>215.9</v>
      </c>
      <c r="C58" s="25" t="n">
        <f aca="false">G58*2.54</f>
        <v>104.14</v>
      </c>
      <c r="D58" s="25" t="n">
        <f aca="false">H58*2.54</f>
        <v>38.1</v>
      </c>
      <c r="E58" s="25" t="n">
        <f aca="false">I58/2.2</f>
        <v>360</v>
      </c>
      <c r="F58" s="15" t="n">
        <v>85</v>
      </c>
      <c r="G58" s="15" t="n">
        <v>41</v>
      </c>
      <c r="H58" s="15" t="n">
        <v>15</v>
      </c>
      <c r="I58" s="15" t="n">
        <v>792</v>
      </c>
      <c r="J58" s="15" t="n">
        <f aca="false">I58</f>
        <v>792</v>
      </c>
      <c r="K58" s="26" t="s">
        <v>55</v>
      </c>
      <c r="L58" s="15"/>
      <c r="M58" s="15"/>
      <c r="N58" s="32" t="n">
        <v>589.31</v>
      </c>
      <c r="O58" s="32" t="n">
        <v>433.08</v>
      </c>
      <c r="P58" s="32" t="n">
        <v>449.33</v>
      </c>
      <c r="Q58" s="32" t="n">
        <v>516.47</v>
      </c>
      <c r="R58" s="27" t="n">
        <v>347.51</v>
      </c>
      <c r="S58" s="34" t="n">
        <v>473.96</v>
      </c>
      <c r="T58" s="34" t="n">
        <v>561.63</v>
      </c>
      <c r="U58" s="34" t="n">
        <v>294.27</v>
      </c>
      <c r="V58" s="34" t="n">
        <v>335.08</v>
      </c>
      <c r="W58" s="34" t="n">
        <v>442.34</v>
      </c>
      <c r="X58" s="34" t="n">
        <v>523.69</v>
      </c>
      <c r="Y58" s="34" t="n">
        <v>438.26</v>
      </c>
    </row>
    <row r="59" customFormat="false" ht="14.25" hidden="false" customHeight="false" outlineLevel="0" collapsed="false">
      <c r="F59" s="33"/>
      <c r="G59" s="30"/>
      <c r="H59" s="30"/>
      <c r="I59" s="30"/>
      <c r="J59" s="30"/>
      <c r="M59" s="21" t="s">
        <v>47</v>
      </c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customFormat="false" ht="14.25" hidden="false" customHeight="true" outlineLevel="0" collapsed="false">
      <c r="A60" s="35"/>
      <c r="B60" s="25" t="n">
        <f aca="false">F60*2.54</f>
        <v>294.64</v>
      </c>
      <c r="C60" s="25" t="n">
        <f aca="false">G60*2.54</f>
        <v>44.958</v>
      </c>
      <c r="D60" s="25" t="n">
        <f aca="false">H60*2.54</f>
        <v>26.9748</v>
      </c>
      <c r="E60" s="25" t="n">
        <f aca="false">I60/2.2</f>
        <v>65.1363636363636</v>
      </c>
      <c r="F60" s="15" t="n">
        <v>116</v>
      </c>
      <c r="G60" s="15" t="n">
        <v>17.7</v>
      </c>
      <c r="H60" s="15" t="n">
        <v>10.62</v>
      </c>
      <c r="I60" s="15" t="n">
        <v>143.3</v>
      </c>
      <c r="J60" s="15" t="n">
        <f aca="false">SUM(I60:I62)</f>
        <v>308.6</v>
      </c>
      <c r="K60" s="26" t="s">
        <v>56</v>
      </c>
      <c r="L60" s="15"/>
      <c r="M60" s="15"/>
      <c r="N60" s="34" t="n">
        <v>423.38</v>
      </c>
      <c r="O60" s="34" t="n">
        <v>376.22</v>
      </c>
      <c r="P60" s="34" t="n">
        <v>351.78</v>
      </c>
      <c r="Q60" s="34" t="n">
        <v>388.98</v>
      </c>
      <c r="R60" s="34" t="n">
        <v>346.37</v>
      </c>
      <c r="S60" s="34" t="n">
        <v>278.08</v>
      </c>
      <c r="T60" s="34" t="n">
        <v>423.38</v>
      </c>
      <c r="U60" s="34" t="n">
        <v>346.37</v>
      </c>
      <c r="V60" s="34" t="n">
        <v>346.37</v>
      </c>
      <c r="W60" s="34" t="n">
        <v>423.38</v>
      </c>
      <c r="X60" s="34" t="n">
        <v>346.37</v>
      </c>
      <c r="Y60" s="34" t="n">
        <v>346.37</v>
      </c>
    </row>
    <row r="61" customFormat="false" ht="14.25" hidden="false" customHeight="false" outlineLevel="0" collapsed="false">
      <c r="A61" s="35"/>
      <c r="B61" s="25" t="n">
        <f aca="false">F61*2.54</f>
        <v>217.932</v>
      </c>
      <c r="C61" s="25" t="n">
        <f aca="false">G61*2.54</f>
        <v>28.9814</v>
      </c>
      <c r="D61" s="25" t="n">
        <f aca="false">H61*2.54</f>
        <v>19.05</v>
      </c>
      <c r="E61" s="25" t="n">
        <f aca="false">I61/2.2</f>
        <v>49.0909090909091</v>
      </c>
      <c r="F61" s="15" t="n">
        <v>85.8</v>
      </c>
      <c r="G61" s="15" t="n">
        <v>11.41</v>
      </c>
      <c r="H61" s="15" t="n">
        <v>7.5</v>
      </c>
      <c r="I61" s="15" t="n">
        <v>108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customFormat="false" ht="14.25" hidden="false" customHeight="false" outlineLevel="0" collapsed="false">
      <c r="A62" s="35"/>
      <c r="B62" s="25" t="n">
        <f aca="false">F62*2.54</f>
        <v>149.86</v>
      </c>
      <c r="C62" s="25" t="n">
        <f aca="false">G62*2.54</f>
        <v>71.882</v>
      </c>
      <c r="D62" s="25" t="n">
        <f aca="false">H62*2.54</f>
        <v>12.954</v>
      </c>
      <c r="E62" s="25" t="n">
        <f aca="false">I62/2.2</f>
        <v>26.0454545454545</v>
      </c>
      <c r="F62" s="15" t="n">
        <v>59</v>
      </c>
      <c r="G62" s="15" t="n">
        <v>28.3</v>
      </c>
      <c r="H62" s="15" t="n">
        <v>5.1</v>
      </c>
      <c r="I62" s="15" t="n">
        <v>57.3</v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customFormat="false" ht="14.25" hidden="false" customHeight="false" outlineLevel="0" collapsed="false">
      <c r="F63" s="36"/>
      <c r="M63" s="21" t="s">
        <v>47</v>
      </c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customFormat="false" ht="14.25" hidden="false" customHeight="false" outlineLevel="0" collapsed="false">
      <c r="A64" s="35"/>
      <c r="B64" s="25" t="n">
        <f aca="false">F64*2.54</f>
        <v>294.64</v>
      </c>
      <c r="C64" s="25" t="n">
        <f aca="false">G64*2.54</f>
        <v>44.958</v>
      </c>
      <c r="D64" s="25" t="n">
        <f aca="false">H64*2.54</f>
        <v>26.9748</v>
      </c>
      <c r="E64" s="25" t="n">
        <f aca="false">I64/2.2</f>
        <v>65.1363636363636</v>
      </c>
      <c r="F64" s="15" t="n">
        <v>116</v>
      </c>
      <c r="G64" s="15" t="n">
        <v>17.7</v>
      </c>
      <c r="H64" s="15" t="n">
        <v>10.62</v>
      </c>
      <c r="I64" s="15" t="n">
        <v>143.3</v>
      </c>
      <c r="J64" s="15" t="n">
        <f aca="false">I64</f>
        <v>143.3</v>
      </c>
      <c r="K64" s="26" t="s">
        <v>57</v>
      </c>
      <c r="L64" s="15"/>
      <c r="M64" s="15"/>
      <c r="N64" s="34" t="n">
        <v>292.47</v>
      </c>
      <c r="O64" s="34" t="n">
        <v>249.82</v>
      </c>
      <c r="P64" s="34" t="n">
        <v>249.82</v>
      </c>
      <c r="Q64" s="34" t="n">
        <v>278.77</v>
      </c>
      <c r="R64" s="34" t="n">
        <v>249.82</v>
      </c>
      <c r="S64" s="34" t="n">
        <v>235.32</v>
      </c>
      <c r="T64" s="34" t="n">
        <v>292.47</v>
      </c>
      <c r="U64" s="34" t="n">
        <v>249.82</v>
      </c>
      <c r="V64" s="34" t="n">
        <v>249.82</v>
      </c>
      <c r="W64" s="34" t="n">
        <v>296.09</v>
      </c>
      <c r="X64" s="34" t="n">
        <v>278.54</v>
      </c>
      <c r="Y64" s="34" t="n">
        <v>289.94</v>
      </c>
    </row>
    <row r="65" customFormat="false" ht="14.25" hidden="false" customHeight="false" outlineLevel="0" collapsed="false">
      <c r="F65" s="33"/>
      <c r="G65" s="30"/>
      <c r="H65" s="30"/>
      <c r="I65" s="30"/>
      <c r="J65" s="30"/>
      <c r="M65" s="21" t="s">
        <v>47</v>
      </c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customFormat="false" ht="14.25" hidden="false" customHeight="true" outlineLevel="0" collapsed="false">
      <c r="A66" s="15"/>
      <c r="B66" s="25" t="n">
        <f aca="false">F66*2.54</f>
        <v>294.64</v>
      </c>
      <c r="C66" s="25" t="n">
        <f aca="false">G66*2.54</f>
        <v>44.958</v>
      </c>
      <c r="D66" s="25" t="n">
        <f aca="false">H66*2.54</f>
        <v>26.9748</v>
      </c>
      <c r="E66" s="25" t="n">
        <f aca="false">I66/2.2</f>
        <v>65.1363636363636</v>
      </c>
      <c r="F66" s="15" t="n">
        <v>116</v>
      </c>
      <c r="G66" s="15" t="n">
        <v>17.7</v>
      </c>
      <c r="H66" s="15" t="n">
        <v>10.62</v>
      </c>
      <c r="I66" s="15" t="n">
        <v>143.3</v>
      </c>
      <c r="J66" s="15" t="n">
        <f aca="false">SUM(I66:I68)</f>
        <v>308.6</v>
      </c>
      <c r="K66" s="26" t="s">
        <v>58</v>
      </c>
      <c r="L66" s="15"/>
      <c r="M66" s="15"/>
      <c r="N66" s="37" t="n">
        <v>423.38</v>
      </c>
      <c r="O66" s="37" t="n">
        <v>351.78</v>
      </c>
      <c r="P66" s="37" t="n">
        <v>351.78</v>
      </c>
      <c r="Q66" s="37" t="n">
        <v>388.98</v>
      </c>
      <c r="R66" s="37" t="n">
        <v>346.37</v>
      </c>
      <c r="S66" s="37" t="n">
        <v>278.08</v>
      </c>
      <c r="T66" s="37" t="n">
        <v>423.38</v>
      </c>
      <c r="U66" s="37" t="n">
        <v>346.37</v>
      </c>
      <c r="V66" s="37" t="n">
        <v>346.37</v>
      </c>
      <c r="W66" s="37" t="n">
        <v>398.05</v>
      </c>
      <c r="X66" s="37" t="n">
        <v>376.22</v>
      </c>
      <c r="Y66" s="37" t="n">
        <v>346.37</v>
      </c>
    </row>
    <row r="67" customFormat="false" ht="14.25" hidden="false" customHeight="false" outlineLevel="0" collapsed="false">
      <c r="A67" s="15"/>
      <c r="B67" s="25" t="n">
        <f aca="false">F67*2.54</f>
        <v>217.932</v>
      </c>
      <c r="C67" s="25" t="n">
        <f aca="false">G67*2.54</f>
        <v>28.9814</v>
      </c>
      <c r="D67" s="25" t="n">
        <f aca="false">H67*2.54</f>
        <v>19.05</v>
      </c>
      <c r="E67" s="25" t="n">
        <f aca="false">I67/2.2</f>
        <v>49.0909090909091</v>
      </c>
      <c r="F67" s="15" t="n">
        <v>85.8</v>
      </c>
      <c r="G67" s="15" t="n">
        <v>11.41</v>
      </c>
      <c r="H67" s="15" t="n">
        <v>7.5</v>
      </c>
      <c r="I67" s="15" t="n">
        <v>108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customFormat="false" ht="14.25" hidden="false" customHeight="false" outlineLevel="0" collapsed="false">
      <c r="A68" s="15"/>
      <c r="B68" s="25" t="n">
        <f aca="false">F68*2.54</f>
        <v>149.86</v>
      </c>
      <c r="C68" s="25" t="n">
        <f aca="false">G68*2.54</f>
        <v>71.882</v>
      </c>
      <c r="D68" s="25" t="n">
        <f aca="false">H68*2.54</f>
        <v>12.954</v>
      </c>
      <c r="E68" s="25" t="n">
        <f aca="false">I68/2.2</f>
        <v>26.0454545454545</v>
      </c>
      <c r="F68" s="15" t="n">
        <v>59</v>
      </c>
      <c r="G68" s="15" t="n">
        <v>28.3</v>
      </c>
      <c r="H68" s="15" t="n">
        <v>5.1</v>
      </c>
      <c r="I68" s="15" t="n">
        <v>57.3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customFormat="false" ht="14.25" hidden="false" customHeight="false" outlineLevel="0" collapsed="false">
      <c r="F69" s="30"/>
      <c r="G69" s="30"/>
      <c r="H69" s="30"/>
      <c r="I69" s="30"/>
      <c r="J69" s="30"/>
      <c r="M69" s="21" t="s">
        <v>47</v>
      </c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</row>
    <row r="70" customFormat="false" ht="14.25" hidden="false" customHeight="true" outlineLevel="0" collapsed="false">
      <c r="A70" s="38"/>
      <c r="B70" s="25" t="n">
        <f aca="false">F70*2.54</f>
        <v>121</v>
      </c>
      <c r="C70" s="25" t="n">
        <f aca="false">G70*2.54</f>
        <v>116</v>
      </c>
      <c r="D70" s="25" t="n">
        <f aca="false">H70*2.54</f>
        <v>57.9999999999999</v>
      </c>
      <c r="E70" s="25" t="n">
        <f aca="false">I70/2.2</f>
        <v>30</v>
      </c>
      <c r="F70" s="15" t="n">
        <v>47.6377952755905</v>
      </c>
      <c r="G70" s="15" t="n">
        <v>45.6692913385827</v>
      </c>
      <c r="H70" s="15" t="n">
        <v>22.8346456692913</v>
      </c>
      <c r="I70" s="15" t="n">
        <v>66</v>
      </c>
      <c r="J70" s="15" t="n">
        <f aca="false">SUM(I70:I76)</f>
        <v>382.8</v>
      </c>
      <c r="K70" s="26" t="s">
        <v>59</v>
      </c>
      <c r="L70" s="39"/>
      <c r="M70" s="24"/>
      <c r="N70" s="34" t="n">
        <v>1285.25</v>
      </c>
      <c r="O70" s="34" t="n">
        <v>819.13</v>
      </c>
      <c r="P70" s="34" t="n">
        <v>896.62</v>
      </c>
      <c r="Q70" s="34" t="n">
        <v>1161.57</v>
      </c>
      <c r="R70" s="34" t="n">
        <v>769.32</v>
      </c>
      <c r="S70" s="34" t="n">
        <v>514.72</v>
      </c>
      <c r="T70" s="34" t="n">
        <v>1271.63</v>
      </c>
      <c r="U70" s="34" t="n">
        <v>700.13</v>
      </c>
      <c r="V70" s="32" t="s">
        <v>60</v>
      </c>
      <c r="W70" s="32" t="s">
        <v>61</v>
      </c>
      <c r="X70" s="34" t="n">
        <v>877.24</v>
      </c>
      <c r="Y70" s="34" t="n">
        <v>841.28</v>
      </c>
    </row>
    <row r="71" customFormat="false" ht="14.25" hidden="false" customHeight="false" outlineLevel="0" collapsed="false">
      <c r="A71" s="38"/>
      <c r="B71" s="25" t="n">
        <f aca="false">F71*2.54</f>
        <v>121</v>
      </c>
      <c r="C71" s="25" t="n">
        <f aca="false">G71*2.54</f>
        <v>116</v>
      </c>
      <c r="D71" s="25" t="n">
        <f aca="false">H71*2.54</f>
        <v>57.9999999999999</v>
      </c>
      <c r="E71" s="25" t="n">
        <f aca="false">I71/2.2</f>
        <v>30</v>
      </c>
      <c r="F71" s="15" t="n">
        <v>47.6377952755905</v>
      </c>
      <c r="G71" s="15" t="n">
        <v>45.6692913385827</v>
      </c>
      <c r="H71" s="15" t="n">
        <v>22.8346456692913</v>
      </c>
      <c r="I71" s="15" t="n">
        <v>66</v>
      </c>
      <c r="J71" s="15"/>
      <c r="K71" s="15"/>
      <c r="L71" s="39"/>
      <c r="M71" s="2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</row>
    <row r="72" customFormat="false" ht="14.25" hidden="false" customHeight="false" outlineLevel="0" collapsed="false">
      <c r="A72" s="38"/>
      <c r="B72" s="25" t="n">
        <f aca="false">F72*2.54</f>
        <v>116</v>
      </c>
      <c r="C72" s="25" t="n">
        <f aca="false">G72*2.54</f>
        <v>105</v>
      </c>
      <c r="D72" s="25" t="n">
        <f aca="false">H72*2.54</f>
        <v>57.9999999999999</v>
      </c>
      <c r="E72" s="25" t="n">
        <f aca="false">I72/2.2</f>
        <v>25</v>
      </c>
      <c r="F72" s="15" t="n">
        <v>45.6692913385827</v>
      </c>
      <c r="G72" s="15" t="n">
        <v>41.3385826771654</v>
      </c>
      <c r="H72" s="15" t="n">
        <v>22.8346456692913</v>
      </c>
      <c r="I72" s="15" t="n">
        <v>55</v>
      </c>
      <c r="J72" s="15"/>
      <c r="K72" s="15"/>
      <c r="L72" s="39"/>
      <c r="M72" s="2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</row>
    <row r="73" customFormat="false" ht="14.25" hidden="false" customHeight="false" outlineLevel="0" collapsed="false">
      <c r="A73" s="38"/>
      <c r="B73" s="25" t="n">
        <f aca="false">F73*2.54</f>
        <v>116</v>
      </c>
      <c r="C73" s="25" t="n">
        <f aca="false">G73*2.54</f>
        <v>105</v>
      </c>
      <c r="D73" s="25" t="n">
        <f aca="false">H73*2.54</f>
        <v>57.9999999999999</v>
      </c>
      <c r="E73" s="25" t="n">
        <f aca="false">I73/2.2</f>
        <v>25</v>
      </c>
      <c r="F73" s="15" t="n">
        <v>45.6692913385827</v>
      </c>
      <c r="G73" s="15" t="n">
        <v>41.3385826771654</v>
      </c>
      <c r="H73" s="15" t="n">
        <v>22.8346456692913</v>
      </c>
      <c r="I73" s="15" t="n">
        <v>55</v>
      </c>
      <c r="J73" s="15"/>
      <c r="K73" s="15"/>
      <c r="L73" s="39"/>
      <c r="M73" s="2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</row>
    <row r="74" customFormat="false" ht="14.25" hidden="false" customHeight="false" outlineLevel="0" collapsed="false">
      <c r="A74" s="38"/>
      <c r="B74" s="25" t="n">
        <f aca="false">F74*2.54</f>
        <v>116</v>
      </c>
      <c r="C74" s="25" t="n">
        <f aca="false">G74*2.54</f>
        <v>105</v>
      </c>
      <c r="D74" s="25" t="n">
        <f aca="false">H74*2.54</f>
        <v>57.9999999999999</v>
      </c>
      <c r="E74" s="25" t="n">
        <f aca="false">I74/2.2</f>
        <v>25</v>
      </c>
      <c r="F74" s="15" t="n">
        <v>45.6692913385827</v>
      </c>
      <c r="G74" s="15" t="n">
        <v>41.3385826771654</v>
      </c>
      <c r="H74" s="15" t="n">
        <v>22.8346456692913</v>
      </c>
      <c r="I74" s="15" t="n">
        <v>55</v>
      </c>
      <c r="J74" s="15"/>
      <c r="K74" s="15"/>
      <c r="L74" s="39"/>
      <c r="M74" s="2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</row>
    <row r="75" customFormat="false" ht="14.25" hidden="false" customHeight="false" outlineLevel="0" collapsed="false">
      <c r="A75" s="38"/>
      <c r="B75" s="25" t="n">
        <f aca="false">F75*2.54</f>
        <v>116</v>
      </c>
      <c r="C75" s="25" t="n">
        <f aca="false">G75*2.54</f>
        <v>116</v>
      </c>
      <c r="D75" s="25" t="n">
        <f aca="false">H75*2.54</f>
        <v>43</v>
      </c>
      <c r="E75" s="25" t="n">
        <f aca="false">I75/2.2</f>
        <v>21</v>
      </c>
      <c r="F75" s="15" t="n">
        <v>45.6692913385827</v>
      </c>
      <c r="G75" s="15" t="n">
        <v>45.6692913385827</v>
      </c>
      <c r="H75" s="15" t="n">
        <v>16.9291338582677</v>
      </c>
      <c r="I75" s="15" t="n">
        <v>46.2</v>
      </c>
      <c r="J75" s="15"/>
      <c r="K75" s="15"/>
      <c r="L75" s="35"/>
      <c r="M75" s="2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customFormat="false" ht="14.25" hidden="false" customHeight="false" outlineLevel="0" collapsed="false">
      <c r="A76" s="38"/>
      <c r="B76" s="25" t="n">
        <f aca="false">F76*2.54</f>
        <v>125</v>
      </c>
      <c r="C76" s="25" t="n">
        <f aca="false">G76*2.54</f>
        <v>85.0000000000001</v>
      </c>
      <c r="D76" s="25" t="n">
        <f aca="false">H76*2.54</f>
        <v>35</v>
      </c>
      <c r="E76" s="25" t="n">
        <f aca="false">I76/2.2</f>
        <v>18</v>
      </c>
      <c r="F76" s="15" t="n">
        <v>49.2125984251969</v>
      </c>
      <c r="G76" s="15" t="n">
        <v>33.4645669291339</v>
      </c>
      <c r="H76" s="15" t="n">
        <v>13.7795275590551</v>
      </c>
      <c r="I76" s="15" t="n">
        <v>39.6</v>
      </c>
      <c r="J76" s="15"/>
      <c r="K76" s="15"/>
      <c r="L76" s="35"/>
      <c r="M76" s="2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</row>
    <row r="77" customFormat="false" ht="14.25" hidden="false" customHeight="false" outlineLevel="0" collapsed="false">
      <c r="F77" s="30"/>
      <c r="G77" s="30"/>
      <c r="H77" s="30"/>
      <c r="I77" s="30"/>
      <c r="J77" s="30"/>
      <c r="M77" s="21" t="s">
        <v>47</v>
      </c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</sheetData>
  <mergeCells count="200">
    <mergeCell ref="N1:P1"/>
    <mergeCell ref="Q1:S1"/>
    <mergeCell ref="T1:V1"/>
    <mergeCell ref="W1:Y1"/>
    <mergeCell ref="B2:E2"/>
    <mergeCell ref="F2:J2"/>
    <mergeCell ref="L2:M2"/>
    <mergeCell ref="A4:A9"/>
    <mergeCell ref="J4:J9"/>
    <mergeCell ref="K4:K9"/>
    <mergeCell ref="L4:L9"/>
    <mergeCell ref="N4:N9"/>
    <mergeCell ref="O4:O9"/>
    <mergeCell ref="P4:P9"/>
    <mergeCell ref="Q4:Q9"/>
    <mergeCell ref="R4:R9"/>
    <mergeCell ref="S4:S9"/>
    <mergeCell ref="T4:T9"/>
    <mergeCell ref="U4:U9"/>
    <mergeCell ref="V4:V9"/>
    <mergeCell ref="W4:W9"/>
    <mergeCell ref="X4:X9"/>
    <mergeCell ref="Y4:Y9"/>
    <mergeCell ref="A11:A14"/>
    <mergeCell ref="J11:J14"/>
    <mergeCell ref="K11:K14"/>
    <mergeCell ref="L11:L14"/>
    <mergeCell ref="N11:N14"/>
    <mergeCell ref="O11:O14"/>
    <mergeCell ref="P11:P14"/>
    <mergeCell ref="Q11:Q14"/>
    <mergeCell ref="R11:R14"/>
    <mergeCell ref="S11:S14"/>
    <mergeCell ref="T11:T14"/>
    <mergeCell ref="U11:U14"/>
    <mergeCell ref="V11:V14"/>
    <mergeCell ref="W11:W14"/>
    <mergeCell ref="X11:X14"/>
    <mergeCell ref="Y11:Y14"/>
    <mergeCell ref="A16:A19"/>
    <mergeCell ref="J16:J19"/>
    <mergeCell ref="K16:K19"/>
    <mergeCell ref="L16:L19"/>
    <mergeCell ref="N16:N19"/>
    <mergeCell ref="O16:O19"/>
    <mergeCell ref="P16:P19"/>
    <mergeCell ref="Q16:Q19"/>
    <mergeCell ref="R16:R19"/>
    <mergeCell ref="S16:S19"/>
    <mergeCell ref="T16:T19"/>
    <mergeCell ref="U16:U19"/>
    <mergeCell ref="V16:V19"/>
    <mergeCell ref="W16:W19"/>
    <mergeCell ref="X16:X19"/>
    <mergeCell ref="Y16:Y19"/>
    <mergeCell ref="A21:A26"/>
    <mergeCell ref="J21:J26"/>
    <mergeCell ref="K21:K26"/>
    <mergeCell ref="L21:L26"/>
    <mergeCell ref="N21:N26"/>
    <mergeCell ref="O21:O26"/>
    <mergeCell ref="P21:P26"/>
    <mergeCell ref="Q21:Q26"/>
    <mergeCell ref="R21:R26"/>
    <mergeCell ref="S21:S26"/>
    <mergeCell ref="T21:T26"/>
    <mergeCell ref="U21:U26"/>
    <mergeCell ref="V21:V26"/>
    <mergeCell ref="W21:W26"/>
    <mergeCell ref="X21:X26"/>
    <mergeCell ref="Y21:Y26"/>
    <mergeCell ref="A28:A33"/>
    <mergeCell ref="J28:J33"/>
    <mergeCell ref="K28:K33"/>
    <mergeCell ref="L28:L33"/>
    <mergeCell ref="N28:N33"/>
    <mergeCell ref="O28:O33"/>
    <mergeCell ref="P28:P33"/>
    <mergeCell ref="Q28:Q33"/>
    <mergeCell ref="R28:R33"/>
    <mergeCell ref="S28:S33"/>
    <mergeCell ref="T28:T33"/>
    <mergeCell ref="U28:U33"/>
    <mergeCell ref="V28:V33"/>
    <mergeCell ref="W28:W33"/>
    <mergeCell ref="X28:X33"/>
    <mergeCell ref="Y28:Y33"/>
    <mergeCell ref="A35:A38"/>
    <mergeCell ref="J35:J38"/>
    <mergeCell ref="K35:K38"/>
    <mergeCell ref="L35:L38"/>
    <mergeCell ref="N35:N38"/>
    <mergeCell ref="O35:O38"/>
    <mergeCell ref="P35:P38"/>
    <mergeCell ref="Q35:Q38"/>
    <mergeCell ref="R35:R38"/>
    <mergeCell ref="S35:S38"/>
    <mergeCell ref="T35:T38"/>
    <mergeCell ref="U35:U38"/>
    <mergeCell ref="V35:V38"/>
    <mergeCell ref="W35:W38"/>
    <mergeCell ref="X35:X38"/>
    <mergeCell ref="Y35:Y38"/>
    <mergeCell ref="A40:A44"/>
    <mergeCell ref="J40:J44"/>
    <mergeCell ref="K40:K44"/>
    <mergeCell ref="L40:L44"/>
    <mergeCell ref="N40:N44"/>
    <mergeCell ref="O40:O44"/>
    <mergeCell ref="P40:P44"/>
    <mergeCell ref="Q40:Q44"/>
    <mergeCell ref="R40:R44"/>
    <mergeCell ref="S40:S44"/>
    <mergeCell ref="T40:T44"/>
    <mergeCell ref="U40:U44"/>
    <mergeCell ref="V40:V44"/>
    <mergeCell ref="W40:W44"/>
    <mergeCell ref="X40:X44"/>
    <mergeCell ref="Y40:Y44"/>
    <mergeCell ref="A46:A50"/>
    <mergeCell ref="J46:J50"/>
    <mergeCell ref="K46:K50"/>
    <mergeCell ref="L46:L50"/>
    <mergeCell ref="N46:N50"/>
    <mergeCell ref="O46:O50"/>
    <mergeCell ref="P46:P50"/>
    <mergeCell ref="Q46:Q50"/>
    <mergeCell ref="R46:R50"/>
    <mergeCell ref="S46:S50"/>
    <mergeCell ref="T46:T50"/>
    <mergeCell ref="U46:U50"/>
    <mergeCell ref="V46:V50"/>
    <mergeCell ref="W46:W50"/>
    <mergeCell ref="X46:X50"/>
    <mergeCell ref="Y46:Y50"/>
    <mergeCell ref="A52:A56"/>
    <mergeCell ref="J52:J56"/>
    <mergeCell ref="K52:K56"/>
    <mergeCell ref="L52:L56"/>
    <mergeCell ref="N52:N56"/>
    <mergeCell ref="O52:O56"/>
    <mergeCell ref="P52:P56"/>
    <mergeCell ref="Q52:Q56"/>
    <mergeCell ref="R52:R56"/>
    <mergeCell ref="S52:S56"/>
    <mergeCell ref="T52:T56"/>
    <mergeCell ref="U52:U56"/>
    <mergeCell ref="V52:V56"/>
    <mergeCell ref="W52:W56"/>
    <mergeCell ref="X52:X56"/>
    <mergeCell ref="Y52:Y56"/>
    <mergeCell ref="A60:A62"/>
    <mergeCell ref="J60:J62"/>
    <mergeCell ref="K60:K62"/>
    <mergeCell ref="L60:L62"/>
    <mergeCell ref="M60:M62"/>
    <mergeCell ref="N60:N62"/>
    <mergeCell ref="O60:O62"/>
    <mergeCell ref="P60:P62"/>
    <mergeCell ref="Q60:Q62"/>
    <mergeCell ref="R60:R62"/>
    <mergeCell ref="S60:S62"/>
    <mergeCell ref="T60:T62"/>
    <mergeCell ref="U60:U62"/>
    <mergeCell ref="V60:V62"/>
    <mergeCell ref="W60:W62"/>
    <mergeCell ref="X60:X62"/>
    <mergeCell ref="Y60:Y62"/>
    <mergeCell ref="A66:A68"/>
    <mergeCell ref="J66:J68"/>
    <mergeCell ref="K66:K68"/>
    <mergeCell ref="L66:L68"/>
    <mergeCell ref="M66:M68"/>
    <mergeCell ref="N66:N68"/>
    <mergeCell ref="O66:O68"/>
    <mergeCell ref="P66:P68"/>
    <mergeCell ref="Q66:Q68"/>
    <mergeCell ref="R66:R68"/>
    <mergeCell ref="S66:S68"/>
    <mergeCell ref="T66:T68"/>
    <mergeCell ref="U66:U68"/>
    <mergeCell ref="V66:V68"/>
    <mergeCell ref="W66:W68"/>
    <mergeCell ref="X66:X68"/>
    <mergeCell ref="Y66:Y68"/>
    <mergeCell ref="A70:A76"/>
    <mergeCell ref="J70:J76"/>
    <mergeCell ref="K70:K76"/>
    <mergeCell ref="N70:N76"/>
    <mergeCell ref="O70:O76"/>
    <mergeCell ref="P70:P76"/>
    <mergeCell ref="Q70:Q76"/>
    <mergeCell ref="R70:R76"/>
    <mergeCell ref="S70:S76"/>
    <mergeCell ref="T70:T76"/>
    <mergeCell ref="U70:U76"/>
    <mergeCell ref="V70:V76"/>
    <mergeCell ref="W70:W76"/>
    <mergeCell ref="X70:X76"/>
    <mergeCell ref="Y70:Y7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Test</cp:category>
  <dcterms:created xsi:type="dcterms:W3CDTF">2022-04-22T10:02:00Z</dcterms:created>
  <dc:creator>ecargo</dc:creator>
  <dc:description>Testdocument,generatedbyPHPExcel.</dc:description>
  <cp:keywords>officeexcelPHPExcel</cp:keywords>
  <dc:language>en-US</dc:language>
  <cp:lastModifiedBy>WPS_1717299214</cp:lastModifiedBy>
  <dcterms:modified xsi:type="dcterms:W3CDTF">2026-04-12T03:00:58Z</dcterms:modified>
  <cp:revision>0</cp:revision>
  <dc:subject>OfficeXLSTestDocument,Demo</dc:subject>
  <dc:title>OfficeXLSTestDocument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8EEAC0DAA02D42448019FBA93D6E84B1_13</vt:lpwstr>
  </property>
  <property fmtid="{D5CDD505-2E9C-101B-9397-08002B2CF9AE}" pid="3" name="KSOProductBuildVer">
    <vt:lpwstr>2052-12.1.0.18608</vt:lpwstr>
  </property>
  <property fmtid="{D5CDD505-2E9C-101B-9397-08002B2CF9AE}" pid="4" name="commondata">
    <vt:lpwstr>eyJoZGlkIjoiMGZiNzkyYzk0ODEyNjMxYmI0NjAxNTE2NDIxNWExNjAifQ==</vt:lpwstr>
  </property>
</Properties>
</file>